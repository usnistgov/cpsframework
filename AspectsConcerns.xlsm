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Z:\Marty\Work\CyberPhysicalSystems\Framework\ExtendedConcerns\"/>
    </mc:Choice>
  </mc:AlternateContent>
  <bookViews>
    <workbookView xWindow="0" yWindow="45" windowWidth="25605" windowHeight="13740" tabRatio="736"/>
  </bookViews>
  <sheets>
    <sheet name="AspectsConcerns" sheetId="21" r:id="rId1"/>
  </sheets>
  <functionGroups builtInGroupCount="18"/>
  <definedNames>
    <definedName name="_xlnm._FilterDatabase" localSheetId="0" hidden="1">AspectsConcerns!$A$4:$E$110</definedName>
    <definedName name="BranchNames">AspectsConcerns!$E$5:$E$110</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C28" i="21" l="1"/>
  <c r="A1" i="21"/>
  <c r="C72" i="21"/>
  <c r="C68" i="21"/>
  <c r="C69" i="21"/>
  <c r="C70" i="21"/>
  <c r="C71" i="21"/>
  <c r="C41" i="21"/>
  <c r="C29" i="21"/>
  <c r="C30" i="21"/>
  <c r="C31" i="21"/>
  <c r="C27" i="21"/>
  <c r="C51" i="21"/>
  <c r="C52" i="21"/>
  <c r="C53" i="21"/>
  <c r="C54" i="21"/>
  <c r="C55" i="21"/>
  <c r="C64" i="21"/>
  <c r="C65" i="21"/>
  <c r="C66" i="21"/>
  <c r="C67" i="21"/>
  <c r="C73" i="21"/>
  <c r="C74" i="21"/>
  <c r="C75" i="21"/>
  <c r="C76" i="21"/>
  <c r="C77" i="21"/>
  <c r="C78" i="21"/>
  <c r="C79" i="21"/>
  <c r="C80" i="21"/>
  <c r="C81" i="21"/>
  <c r="C82" i="21"/>
  <c r="C83" i="21"/>
  <c r="C84" i="21"/>
  <c r="C85" i="21"/>
  <c r="C86" i="21"/>
  <c r="C87" i="21"/>
  <c r="C88" i="21"/>
  <c r="C89" i="21"/>
  <c r="C90" i="21"/>
  <c r="C91" i="21"/>
  <c r="C92" i="21"/>
  <c r="C8" i="21"/>
  <c r="C9" i="21"/>
  <c r="C10" i="21"/>
  <c r="C11" i="21"/>
  <c r="C12" i="21"/>
  <c r="C13" i="21"/>
  <c r="C14" i="21"/>
  <c r="C15" i="21"/>
  <c r="C16" i="21"/>
  <c r="C17" i="21"/>
  <c r="C18" i="21"/>
  <c r="C19" i="21"/>
  <c r="C20" i="21"/>
  <c r="C21" i="21"/>
  <c r="C22" i="21"/>
  <c r="C23" i="21"/>
  <c r="C24" i="21"/>
  <c r="C25" i="21"/>
  <c r="C26" i="21"/>
  <c r="C110" i="21"/>
  <c r="C109" i="21"/>
  <c r="C108" i="21"/>
  <c r="C107" i="21"/>
  <c r="C106" i="21"/>
  <c r="C105" i="21"/>
  <c r="C104" i="21"/>
  <c r="C103" i="21"/>
  <c r="C102" i="21"/>
  <c r="C101" i="21"/>
  <c r="C100" i="21"/>
  <c r="C99" i="21"/>
  <c r="C98" i="21"/>
  <c r="C97" i="21"/>
  <c r="C96" i="21"/>
  <c r="C95" i="21"/>
  <c r="C94" i="21"/>
  <c r="C93" i="21"/>
  <c r="C63" i="21"/>
  <c r="C62" i="21"/>
  <c r="C61" i="21"/>
  <c r="C60" i="21"/>
  <c r="C59" i="21"/>
  <c r="C58" i="21"/>
  <c r="C57" i="21"/>
  <c r="C56" i="21"/>
  <c r="C50" i="21"/>
  <c r="C49" i="21"/>
  <c r="C48" i="21"/>
  <c r="C47" i="21"/>
  <c r="C46" i="21"/>
  <c r="C45" i="21"/>
  <c r="C44" i="21"/>
  <c r="C43" i="21"/>
  <c r="C42" i="21"/>
  <c r="C40" i="21"/>
  <c r="C39" i="21"/>
  <c r="C38" i="21"/>
  <c r="C37" i="21"/>
  <c r="C36" i="21"/>
  <c r="C35" i="21"/>
  <c r="C34" i="21"/>
  <c r="C33" i="21"/>
  <c r="C32" i="21"/>
  <c r="C7" i="21"/>
  <c r="C5" i="21"/>
  <c r="C6" i="21"/>
</calcChain>
</file>

<file path=xl/sharedStrings.xml><?xml version="1.0" encoding="utf-8"?>
<sst xmlns="http://schemas.openxmlformats.org/spreadsheetml/2006/main" count="317" uniqueCount="229">
  <si>
    <t>Nest</t>
  </si>
  <si>
    <t>Branch</t>
  </si>
  <si>
    <t>cost</t>
  </si>
  <si>
    <t>Functional</t>
  </si>
  <si>
    <t>Business</t>
  </si>
  <si>
    <t>Human</t>
  </si>
  <si>
    <t>Trustworthiness</t>
  </si>
  <si>
    <t>Timing</t>
  </si>
  <si>
    <t>Data</t>
  </si>
  <si>
    <t>Boundaries</t>
  </si>
  <si>
    <t>Composition</t>
  </si>
  <si>
    <t>Lifecycle</t>
  </si>
  <si>
    <t>actuation</t>
  </si>
  <si>
    <t>Concerns related to the ability of the CPS to effect change in the physical world.</t>
  </si>
  <si>
    <t>communication</t>
  </si>
  <si>
    <t>Concerns related to the exchange of information internal to the CPS and between the CPS and other entities.</t>
  </si>
  <si>
    <t>controllability</t>
  </si>
  <si>
    <t>Ability of a CPS to control a property of a physical thing. There are many challenges to implementing control systems with CPS including the non-determinism of cyber systems, the uncertainty of location, time and observations or actions, their reliability and security, and complexity. Concerns related to the ability to modify a CPS or its function, if necessary.</t>
  </si>
  <si>
    <t>functionality</t>
  </si>
  <si>
    <t>Concerns related to the function that a CPS provides.</t>
  </si>
  <si>
    <t>measurability</t>
  </si>
  <si>
    <t>Concerns related to the ability to measure the characteristics of the CPS.</t>
  </si>
  <si>
    <t>monitorability</t>
  </si>
  <si>
    <t>Concerns related to the ease and reliability with which authorized entities can gain and maintain awareness of the state of a CPS and its operations. Includes logging and audit functionality.</t>
  </si>
  <si>
    <t>performance</t>
  </si>
  <si>
    <t>Concerns related to the ability of a CPS to meet required operational targets.</t>
  </si>
  <si>
    <t>physical</t>
  </si>
  <si>
    <t>Concerns about purely physical properties of CPS including seals, locks, safety, and EMI.</t>
  </si>
  <si>
    <t>physical context</t>
  </si>
  <si>
    <t>Concerns relating to the need to understand a specific observation or a desired action relative to its physical position (and uncertainty.) While this information is often implied and not explicit in traditional physical systems, the distributed, mobile nature of CPS makes this a critical concern.</t>
  </si>
  <si>
    <t>sensing</t>
  </si>
  <si>
    <t>Concerns related to the ability of a CPS to develop the situational awareness required to perform to its function.</t>
  </si>
  <si>
    <t>uncertainty</t>
  </si>
  <si>
    <t>Managing the effects of uncertainties is a fundamental challenge in CPS. Sources of uncertainty in CPS can be grouped into statistical (aleatoric), lack of knowledge (epistemic) uncertainty, or systematic uncertainty. In CPS statistical uncertainty is caused by randomness of accuracy of sensing and actuation, often caused by uncertainty of manufacturing processes. Systematic uncertainty is caused by incomplete knowledge either due to limits of acquired knowledge or due to simplification in modeling. Typical manifestations of epistemic uncertainty are limited validity of models of physical processes or limits of computability of properties of mathematical models.</t>
  </si>
  <si>
    <t>enterprise</t>
  </si>
  <si>
    <t>Concerns related to the economic aspects of CPS throughout their lifecycle.</t>
  </si>
  <si>
    <t xml:space="preserve">Concerns related to the direct and indirect investment or monetary flow or other resources required by the CPS throughout its lifecycle. </t>
  </si>
  <si>
    <t>environment</t>
  </si>
  <si>
    <t>policy</t>
  </si>
  <si>
    <t>Concerns related to the impacts of treaties, statutes, and doctrines on a CPS throughout its lifecycle.</t>
  </si>
  <si>
    <t>quality</t>
  </si>
  <si>
    <t>Concerns related to the ease and reliability of assessing whether a CPS meets stakeholder (especially customer) expectations.</t>
  </si>
  <si>
    <t>regulatory</t>
  </si>
  <si>
    <t>Concerns related to regulatory requirements and certifications.</t>
  </si>
  <si>
    <t>time to market</t>
  </si>
  <si>
    <t>Concerns related to the time period required to bring a CPS from need realization through deployment.</t>
  </si>
  <si>
    <t>utility</t>
  </si>
  <si>
    <t>Concerns related to the ability of a CPS to provide benefit or satisfaction through its operation. Utility reflects a business concern, especially when considered as the numerator when computing value, which equals utility divided by costs.</t>
  </si>
  <si>
    <t>human factors</t>
  </si>
  <si>
    <t>Concern about the characteristics of CPS with respect to how they are used by humans.</t>
  </si>
  <si>
    <t>usability</t>
  </si>
  <si>
    <t>Concerns related to the ability of CPS to be used to achieve its functional objectives effectively, efficiently, and to the satisfaction of users (adapted from ISO 9241-210.) The combination of physical and cyber into complex systems creates challenges in meeting usability goals. Complexity is a major issue. The diversity of interfaces creates a significant learning curve for human interaction.</t>
  </si>
  <si>
    <t>privacy</t>
  </si>
  <si>
    <t>Concerns related to the ability of the CPS to prevent entities (people, machines) from gaining access to data stored in, created by, or transiting a CPS or its components such that individuals or groups cannot seclude themselves or information about themselves from others. Privacy is a condition that results from the establishment and maintenance of a collection of methods to support the mitigation of risks to individuals arising from the processing of their personal information within or among systems or through the manipulation of physical environments.</t>
  </si>
  <si>
    <t>reliability</t>
  </si>
  <si>
    <t>Concerns related to the ability of the CPS to deliver stable and predictable performance in expected conditions.</t>
  </si>
  <si>
    <t>resilience</t>
  </si>
  <si>
    <t>Concerns related to the ability of the CPS to withstand instability, unexpected conditions, and gracefully return to predictable, but possibly degraded, performance.</t>
  </si>
  <si>
    <t>safety</t>
  </si>
  <si>
    <t>Concerns related to the ability of the CPS to ensure the absence of catastrophic consequences on the life, health, property, or data of CPS stakeholders and the physical environment.</t>
  </si>
  <si>
    <t>security</t>
  </si>
  <si>
    <t>logical time</t>
  </si>
  <si>
    <t xml:space="preserve">Concerns related to the order in which things happen (causal order relation). </t>
  </si>
  <si>
    <t>managing timing and latency</t>
  </si>
  <si>
    <t xml:space="preserve">Control and measurement applications in CPS generally require specific management of timing and latency. General important concerns for managing timing and latency include the coordination of timing domains and multiple timing references; latency management and control, including scheduling of network timing guarantees; and the mixing of time-sensitive and best-effort data in both networks and CPS nodes. </t>
  </si>
  <si>
    <t>synchronization</t>
  </si>
  <si>
    <t xml:space="preserve">Synchronization implies that all associated nodes have access to the same reference timing signals. There are three kinds of synchronization: time, phase, and frequency synchronization, although frequency synchronization is also called syntonization. </t>
  </si>
  <si>
    <t>time awareness</t>
  </si>
  <si>
    <t>Concerns that allow time correctness by design. The presence or absence of explicit time in the models used to describe, analyze, and design CPS and in the actual operation of the components.</t>
  </si>
  <si>
    <t>time-interval and latency control</t>
  </si>
  <si>
    <t xml:space="preserve">A time-interval is the duration between two instants read on the same timescale. CPS timing requirements are generally expressed as constraints on the time intervals (TI) between pairs of system significant events. There can be more general constraints on TIs that can be categorized based on their degree of time awareness in terms of bounded TIs or latency, deterministic TIs, and accurate TIs. </t>
  </si>
  <si>
    <t>data semantics</t>
  </si>
  <si>
    <t xml:space="preserve">Concerns related to the agreed and shared meaning(s) of data held within, generated by, and transiting a system. </t>
  </si>
  <si>
    <t>identity</t>
  </si>
  <si>
    <t xml:space="preserve">Concerns related to the ability to accurately recognize entities (people, machines, and data) when interacting with or being leveraged by a CPS. </t>
  </si>
  <si>
    <t>operations on data</t>
  </si>
  <si>
    <t>Concerns related to the ability to create/read/update/delete system data and how the integrity of CPS data and behaviors may be affected.</t>
  </si>
  <si>
    <t>relationship between data</t>
  </si>
  <si>
    <t>Concerns related to how and why sets of data must, may, or may not be associated with each other and the value or harm that can be derived from those associations.</t>
  </si>
  <si>
    <t>behavioral</t>
  </si>
  <si>
    <t>Concerns related to interdependence among behavioral domains. Concerns related to the ability to successfully operate a CPS in multiple application areas.</t>
  </si>
  <si>
    <t>networkability</t>
  </si>
  <si>
    <t>Concerns related to the ease and reliability with which a CPS can be incorporated within a (new or existing) network of other systems.</t>
  </si>
  <si>
    <t>responsibility</t>
  </si>
  <si>
    <t>Concerns related to the ability to identify the entity or entities authorized to control the operation of a CPS.</t>
  </si>
  <si>
    <t>adaptability</t>
  </si>
  <si>
    <t>Concerns related to the ability of the CPS to achieve an intended purpose in the face of changing external conditions such as the need to upgrade or otherwise reconfigure a CPS to meet new conditions, needs, or objectives.</t>
  </si>
  <si>
    <t>complexity</t>
  </si>
  <si>
    <t>Concerns related to our understanding of the behavior of CPS due to the richness and heterogeneity of interactions among its components, such as existence of legacy and the variety of interfaces.</t>
  </si>
  <si>
    <t>constructivity</t>
  </si>
  <si>
    <t>Concerns related to the ability to combine CPS modular components (hardware, software, and data) to satisfy user requirements.</t>
  </si>
  <si>
    <t>discoverability</t>
  </si>
  <si>
    <t>Concerns related to the ease and reliability with which a CPS component can be observed and understood (for purposes of leveraging the component’s functionality) by an entity (human, machines). Concerns related to the ease and reliability with which a CPS component’s functions can be ascertained (for purposes of leveraging that functionality) by an entity (human, machines).</t>
  </si>
  <si>
    <t>deployability</t>
  </si>
  <si>
    <t>Concerns related to the ease and reliability with which a CPS can be brought into productive use.</t>
  </si>
  <si>
    <t>disposability</t>
  </si>
  <si>
    <t>Concerns related to the impacts that may occur when the CPS is taken physically out of service.</t>
  </si>
  <si>
    <t>engineerability</t>
  </si>
  <si>
    <t>Concerns related to the ease and reliability with which a CPS design concept can successfully be realized via a structured engineering process.</t>
  </si>
  <si>
    <t>maintainability</t>
  </si>
  <si>
    <t>Concerns related to the ease and reliability with which the CPS can be kept in working order.</t>
  </si>
  <si>
    <t>operatability</t>
  </si>
  <si>
    <t>Concerns related to the operation of the CPS when deployed.</t>
  </si>
  <si>
    <t>procureability</t>
  </si>
  <si>
    <t>Concerns related to the ease and reliability with which a CPS can be obtained.</t>
  </si>
  <si>
    <t>producibility</t>
  </si>
  <si>
    <t xml:space="preserve">Concerns related to the ease and reliability with which a CPS design can be successfully manufactured. </t>
  </si>
  <si>
    <t>confidentiality</t>
  </si>
  <si>
    <t>cybersecurity</t>
  </si>
  <si>
    <t>physicalsecurity</t>
  </si>
  <si>
    <t>integrity</t>
  </si>
  <si>
    <t>availability</t>
  </si>
  <si>
    <t xml:space="preserve">Preserving authorized restrictions on access and disclosure. </t>
  </si>
  <si>
    <t xml:space="preserve">Concerns related to the ability of the CPS to ensure that all of its processes, mechanisms, physical and data, and services are afforded internal or external protection from unintended and unauthorized access, change, damage, destruction, or use. 
Confidentiality: 
Integrity: 
Availability:  </t>
  </si>
  <si>
    <t>Ensuring timely and reliable access to and use of a system.</t>
  </si>
  <si>
    <t>Concerns about function including sensing, actuation, control, communications, physicality, etc.</t>
  </si>
  <si>
    <t>Concerns about enterprise, time to market, environment, regulation, cost, etc.</t>
  </si>
  <si>
    <t>Concerns about human interaction with and as part of a CPS.</t>
  </si>
  <si>
    <t>Concerns about trustworthiness of CPS including cybersecurity, privacy, safety, reliability, and resilience.</t>
  </si>
  <si>
    <t>Concerns about time and frequency in CPS, including the generation and transport of time and frequency signals, timestamping, managing latency, timing composability, etc.</t>
  </si>
  <si>
    <t>Concerns about data interoperability including fusion, metadata, type, identity, etc.</t>
  </si>
  <si>
    <t>Concerns related to demarcations of topological, functional, organizational, or other forms of interactions.</t>
  </si>
  <si>
    <t>Concerns related to the ability to compute selected properties of a component assembly from the properties of its components. Compositionality requires components that are composable: they do not change their properties in an assembly. Timing composability is particularly difficult.</t>
  </si>
  <si>
    <t>Concerns about the lifecycle of CPS including its components.</t>
  </si>
  <si>
    <t>CPS Framework: Aspects and Concerns</t>
  </si>
  <si>
    <t>fusion</t>
  </si>
  <si>
    <t>velocity</t>
  </si>
  <si>
    <t>Concerns related to the fusion and aggregation of data.</t>
  </si>
  <si>
    <t>Concerns related to the volume and storage of data.</t>
  </si>
  <si>
    <t>Concerns related to the velocity of data.</t>
  </si>
  <si>
    <t>analytics</t>
  </si>
  <si>
    <t>storage</t>
  </si>
  <si>
    <t>aggregation/disaggregation</t>
  </si>
  <si>
    <t>transformation</t>
  </si>
  <si>
    <t>data models</t>
  </si>
  <si>
    <t>granularity</t>
  </si>
  <si>
    <t>meaning</t>
  </si>
  <si>
    <t>authentication</t>
  </si>
  <si>
    <t>authorization</t>
  </si>
  <si>
    <t>verification</t>
  </si>
  <si>
    <t>provenance</t>
  </si>
  <si>
    <t>Structure of data/information</t>
  </si>
  <si>
    <t>time of data</t>
  </si>
  <si>
    <t>related data (including metadata)</t>
  </si>
  <si>
    <t>location of data</t>
  </si>
  <si>
    <t>inheritance</t>
  </si>
  <si>
    <t>polymorphism</t>
  </si>
  <si>
    <t>directional/non-directional relationships between data</t>
  </si>
  <si>
    <t>Granularity of data</t>
  </si>
  <si>
    <t>semantic meaning of data elements</t>
  </si>
  <si>
    <t>identificatio of data</t>
  </si>
  <si>
    <t>authenticity of data</t>
  </si>
  <si>
    <t>authorizations constraining access to data</t>
  </si>
  <si>
    <t>verification of the identity of data</t>
  </si>
  <si>
    <t>integrity of the data elements</t>
  </si>
  <si>
    <t>management of the configuration of data producing entities</t>
  </si>
  <si>
    <t>provenance of the source of data</t>
  </si>
  <si>
    <t>transformation of data from one form/semantic to another</t>
  </si>
  <si>
    <t>aggregation of data to form summaries or collections from multiple source</t>
  </si>
  <si>
    <t>time stamping of data through its life cycle</t>
  </si>
  <si>
    <t>metadata and other related data</t>
  </si>
  <si>
    <t>inheritance relationships of data</t>
  </si>
  <si>
    <t>polymorphism of data</t>
  </si>
  <si>
    <t>directionality of relationships</t>
  </si>
  <si>
    <t>associated quality metrics of data</t>
  </si>
  <si>
    <t>Concern</t>
  </si>
  <si>
    <t>Syntactic Interoperability</t>
  </si>
  <si>
    <t>GWAC-Syntactic Interoperability(3)</t>
  </si>
  <si>
    <t>OSI-Application</t>
  </si>
  <si>
    <t>OSI-Application(7)</t>
  </si>
  <si>
    <t>OSI-Presentation</t>
  </si>
  <si>
    <t>OSI-Presentation(6)</t>
  </si>
  <si>
    <t>Network Interoperability</t>
  </si>
  <si>
    <t>GWAC-Network Interoperability(2)</t>
  </si>
  <si>
    <t>OSI-Session</t>
  </si>
  <si>
    <t>OSI-Session(5)</t>
  </si>
  <si>
    <t>OSI-Transport</t>
  </si>
  <si>
    <t>OSI-Transport(4)</t>
  </si>
  <si>
    <t>OSI-Network</t>
  </si>
  <si>
    <t>OSI-Network(3)</t>
  </si>
  <si>
    <t>Basic Connectivity</t>
  </si>
  <si>
    <t>GWAC-Basic Connectivity(1)</t>
  </si>
  <si>
    <t>OSI-Data Link</t>
  </si>
  <si>
    <t>OSI-Data Link(2)</t>
  </si>
  <si>
    <t>OSI-Physical</t>
  </si>
  <si>
    <t>OSI-Physical(1)</t>
  </si>
  <si>
    <t>Source</t>
  </si>
  <si>
    <t>CPSFramework</t>
  </si>
  <si>
    <t>statesAndModes</t>
  </si>
  <si>
    <t>GWAC - Transaction &amp; State Mgt(CC)</t>
  </si>
  <si>
    <t>FCAPS - Configuration Management, 
FCAPS - Administration Management,
NISTIR SG.CM</t>
  </si>
  <si>
    <t>NISTIR SG.CM-7</t>
  </si>
  <si>
    <t>Component Inventory</t>
  </si>
  <si>
    <t>NISTIR SG.CM-8</t>
  </si>
  <si>
    <t>configurationManagement</t>
  </si>
  <si>
    <t>configurationForLeastFFunctionality</t>
  </si>
  <si>
    <t>configuration management is a key functional concern with dimensions of configuration, versioning, ...</t>
  </si>
  <si>
    <t>Planning</t>
  </si>
  <si>
    <t>Concerns related to the impacts of the engineering and operation of a CPS on the physical world.</t>
  </si>
  <si>
    <t>GWAC-Resource Identification(CC)</t>
  </si>
  <si>
    <t>NISTIR SG.IA-4</t>
  </si>
  <si>
    <t>NISTIR SG.IA-5</t>
  </si>
  <si>
    <t>TBD</t>
  </si>
  <si>
    <t>Concerns about the presentation and exchange patterns of data</t>
  </si>
  <si>
    <t>Concerns about application layer exchange patterns</t>
  </si>
  <si>
    <t>Concerns about the syntax of message encoding</t>
  </si>
  <si>
    <t>Concerns about networked message exchange</t>
  </si>
  <si>
    <t>Concerns about session creation, maintainance, and tear-down</t>
  </si>
  <si>
    <t>Concerns about information transport</t>
  </si>
  <si>
    <t>Concerns about networked exchange</t>
  </si>
  <si>
    <t>Concerns about connectivity of CPSDevices</t>
  </si>
  <si>
    <t>Concerns about data links</t>
  </si>
  <si>
    <t>Concerns about physical communication links</t>
  </si>
  <si>
    <t>Concerns about planning.</t>
  </si>
  <si>
    <t>Concerns about minimizing the configuration needed.</t>
  </si>
  <si>
    <t>Concerns about component inventory and versioning.</t>
  </si>
  <si>
    <t>Concerns about physical security.</t>
  </si>
  <si>
    <t>Concerns about cybsersecurity.</t>
  </si>
  <si>
    <t>Guarding against improper modification or destruction of system, and includes ensuring non-repudiation and authenticity.</t>
  </si>
  <si>
    <t>resourceIdentification</t>
  </si>
  <si>
    <t>userIdentification</t>
  </si>
  <si>
    <t>deviceIdentification</t>
  </si>
  <si>
    <t>objectIdentification</t>
  </si>
  <si>
    <t>classIdentification</t>
  </si>
  <si>
    <t>configuration</t>
  </si>
  <si>
    <t>manageability</t>
  </si>
  <si>
    <t>Concerns about managing a CPS through its life cycle.</t>
  </si>
  <si>
    <t>Concerns about states and modes of a CPS.</t>
  </si>
  <si>
    <t>Aspect/Concern</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</si>
</sst>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rgb="FF9C6500"/>
      <name val="Calibri"/>
      <family val="2"/>
      <scheme val="minor"/>
    </font>
    <font>
      <b/>
      <sz val="11"/>
      <color rgb="FF9C6500"/>
      <name val="Calibri"/>
      <family val="2"/>
      <scheme val="minor"/>
    </font>
    <font>
      <sz val="11"/>
      <color rgb="FF006100"/>
      <name val="Calibri"/>
      <family val="2"/>
      <scheme val="minor"/>
    </font>
    <font>
      <b/>
      <sz val="26"/>
      <color theme="1"/>
      <name val="Calibri"/>
      <family val="2"/>
      <scheme val="minor"/>
    </font>
    <font>
      <b/>
      <sz val="18"/>
      <color rgb="FF9C6500"/>
      <name val="Calibri"/>
      <family val="2"/>
      <scheme val="minor"/>
    </font>
    <font>
      <sz val="18"/>
      <color theme="1"/>
      <name val="Calibri"/>
      <family val="2"/>
      <scheme val="minor"/>
    </font>
  </fonts>
  <fills count="6">
    <fill>
      <patternFill patternType="none"/>
    </fill>
    <fill>
      <patternFill patternType="gray125"/>
    </fill>
    <fill>
      <patternFill patternType="solid">
        <fgColor rgb="FFFFEB9C"/>
      </patternFill>
    </fill>
    <fill>
      <patternFill patternType="solid">
        <fgColor rgb="FFC6EFCE"/>
      </patternFill>
    </fill>
    <fill>
      <patternFill patternType="solid">
        <fgColor rgb="FFFFF7D5"/>
        <bgColor indexed="64"/>
      </patternFill>
    </fill>
    <fill>
      <patternFill patternType="solid">
        <fgColor rgb="FFFFFCEF"/>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1" fillId="2" borderId="1" applyNumberFormat="0" applyAlignment="0" applyProtection="0"/>
    <xf numFmtId="0" fontId="2" fillId="2" borderId="1" applyAlignment="0" applyProtection="0"/>
    <xf numFmtId="2" fontId="3" fillId="3" borderId="1" applyNumberFormat="0" applyProtection="0"/>
    <xf numFmtId="0" fontId="2" fillId="4" borderId="1" applyAlignment="0" applyProtection="0"/>
    <xf numFmtId="0" fontId="2" fillId="5" borderId="1">
      <alignment vertical="center" wrapText="1"/>
    </xf>
  </cellStyleXfs>
  <cellXfs count="9">
    <xf numFmtId="0" fontId="0" fillId="0" borderId="0" xfId="0"/>
    <xf numFmtId="0" fontId="5" fillId="2" borderId="1" xfId="2" applyFont="1" applyAlignment="1">
      <alignment horizontal="center" vertical="top"/>
    </xf>
    <xf numFmtId="0" fontId="6" fillId="0" borderId="0" xfId="0" applyFont="1" applyAlignment="1">
      <alignment horizontal="center" vertical="top"/>
    </xf>
    <xf numFmtId="0" fontId="0" fillId="0" borderId="0" xfId="0" applyAlignment="1">
      <alignment vertical="top"/>
    </xf>
    <xf numFmtId="0" fontId="4" fillId="0" borderId="0" xfId="0" applyFont="1" applyAlignment="1">
      <alignment horizontal="center" vertical="top"/>
    </xf>
    <xf numFmtId="0" fontId="2" fillId="2" borderId="1" xfId="2" applyAlignment="1">
      <alignment vertical="top"/>
    </xf>
    <xf numFmtId="0" fontId="2" fillId="2" borderId="1" xfId="2" applyAlignment="1">
      <alignment vertical="top" wrapText="1"/>
    </xf>
    <xf numFmtId="0" fontId="2" fillId="5" borderId="1" xfId="5">
      <alignment vertical="center" wrapText="1"/>
    </xf>
    <xf numFmtId="22" fontId="0" fillId="0" borderId="0" xfId="0" applyNumberFormat="1" applyAlignment="1">
      <alignment vertical="top"/>
    </xf>
  </cellXfs>
  <cellStyles count="6">
    <cellStyle name="Branch" xfId="2"/>
    <cellStyle name="Leaf" xfId="3"/>
    <cellStyle name="Neutral" xfId="1" builtinId="28" customBuiltin="1"/>
    <cellStyle name="Normal" xfId="0" builtinId="0"/>
    <cellStyle name="SubBranch" xfId="4"/>
    <cellStyle name="SubsubBranch" xfId="5"/>
  </cellStyles>
  <dxfs count="0"/>
  <tableStyles count="0" defaultTableStyle="TableStyleMedium9" defaultPivotStyle="PivotStyleLight16"/>
  <colors>
    <mruColors>
      <color rgb="FFFFFCEF"/>
      <color rgb="FFFFF7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10"/>
  <sheetViews>
    <sheetView tabSelected="1" zoomScale="85" zoomScaleNormal="85" zoomScalePageLayoutView="85" workbookViewId="0">
      <pane ySplit="4" topLeftCell="A5" activePane="bottomLeft" state="frozen"/>
      <selection pane="bottomLeft" activeCell="C7" sqref="C7"/>
    </sheetView>
  </sheetViews>
  <sheetFormatPr defaultColWidth="8.85546875" defaultRowHeight="15" x14ac:dyDescent="0.25"/>
  <cols>
    <col min="1" max="1" width="15.28515625" style="3" customWidth="1"/>
    <col min="2" max="2" width="15.28515625" style="3" hidden="1" customWidth="1"/>
    <col min="3" max="3" width="40.42578125" style="3" customWidth="1"/>
    <col min="4" max="4" width="40.42578125" style="3" hidden="1" customWidth="1"/>
    <col min="5" max="5" width="105.85546875" style="3" customWidth="1"/>
    <col min="6" max="16384" width="8.85546875" style="3"/>
  </cols>
  <sheetData>
    <row r="1" spans="1:5" ht="33.75" x14ac:dyDescent="0.25">
      <c r="A1" s="8">
        <f ca="1">NOW()</f>
        <v>42478.321156481485</v>
      </c>
      <c r="E1" s="4" t="s">
        <v>124</v>
      </c>
    </row>
    <row r="4" spans="1:5" s="2" customFormat="1" ht="23.25" x14ac:dyDescent="0.25">
      <c r="A4" s="1" t="s">
        <v>0</v>
      </c>
      <c r="B4" s="1" t="s">
        <v>165</v>
      </c>
      <c r="C4" s="1" t="s">
        <v>228</v>
      </c>
      <c r="D4" s="1" t="s">
        <v>186</v>
      </c>
      <c r="E4" s="1" t="s">
        <v>1</v>
      </c>
    </row>
    <row r="5" spans="1:5" x14ac:dyDescent="0.25">
      <c r="A5" s="5">
        <v>0</v>
      </c>
      <c r="B5" s="5" t="s">
        <v>3</v>
      </c>
      <c r="C5" s="5" t="str">
        <f>CONCATENATE(REPT("     ",AspectsConcerns!A5)," ",AspectsConcerns!B5)</f>
        <v xml:space="preserve"> Functional</v>
      </c>
      <c r="D5" s="5" t="s">
        <v>187</v>
      </c>
      <c r="E5" s="6" t="s">
        <v>115</v>
      </c>
    </row>
    <row r="6" spans="1:5" x14ac:dyDescent="0.25">
      <c r="A6" s="7">
        <v>1</v>
      </c>
      <c r="B6" s="7" t="s">
        <v>12</v>
      </c>
      <c r="C6" s="7" t="str">
        <f>CONCATENATE(REPT("     ",AspectsConcerns!A6)," ",AspectsConcerns!B6)</f>
        <v xml:space="preserve">      actuation</v>
      </c>
      <c r="D6" s="7" t="s">
        <v>187</v>
      </c>
      <c r="E6" s="7" t="s">
        <v>13</v>
      </c>
    </row>
    <row r="7" spans="1:5" x14ac:dyDescent="0.25">
      <c r="A7" s="7">
        <v>1</v>
      </c>
      <c r="B7" s="7" t="s">
        <v>14</v>
      </c>
      <c r="C7" s="7" t="str">
        <f>CONCATENATE(REPT("     ",AspectsConcerns!A7)," ",AspectsConcerns!B7)</f>
        <v xml:space="preserve">      communication</v>
      </c>
      <c r="D7" s="7" t="s">
        <v>187</v>
      </c>
      <c r="E7" s="7" t="s">
        <v>15</v>
      </c>
    </row>
    <row r="8" spans="1:5" ht="30" x14ac:dyDescent="0.25">
      <c r="A8" s="7">
        <v>2</v>
      </c>
      <c r="B8" s="7" t="s">
        <v>166</v>
      </c>
      <c r="C8" s="7" t="str">
        <f>CONCATENATE(REPT("     ",AspectsConcerns!A8)," ",AspectsConcerns!B8)</f>
        <v xml:space="preserve">           Syntactic Interoperability</v>
      </c>
      <c r="D8" s="7" t="s">
        <v>167</v>
      </c>
      <c r="E8" s="7" t="s">
        <v>203</v>
      </c>
    </row>
    <row r="9" spans="1:5" x14ac:dyDescent="0.25">
      <c r="A9" s="7">
        <v>3</v>
      </c>
      <c r="B9" s="7" t="s">
        <v>168</v>
      </c>
      <c r="C9" s="7" t="str">
        <f>CONCATENATE(REPT("     ",AspectsConcerns!A9)," ",AspectsConcerns!B9)</f>
        <v xml:space="preserve">                OSI-Application</v>
      </c>
      <c r="D9" s="7" t="s">
        <v>169</v>
      </c>
      <c r="E9" s="7" t="s">
        <v>204</v>
      </c>
    </row>
    <row r="10" spans="1:5" ht="30" x14ac:dyDescent="0.25">
      <c r="A10" s="7">
        <v>3</v>
      </c>
      <c r="B10" s="7" t="s">
        <v>170</v>
      </c>
      <c r="C10" s="7" t="str">
        <f>CONCATENATE(REPT("     ",AspectsConcerns!A10)," ",AspectsConcerns!B10)</f>
        <v xml:space="preserve">                OSI-Presentation</v>
      </c>
      <c r="D10" s="7" t="s">
        <v>171</v>
      </c>
      <c r="E10" s="7" t="s">
        <v>205</v>
      </c>
    </row>
    <row r="11" spans="1:5" ht="30" x14ac:dyDescent="0.25">
      <c r="A11" s="7">
        <v>2</v>
      </c>
      <c r="B11" s="7" t="s">
        <v>172</v>
      </c>
      <c r="C11" s="7" t="str">
        <f>CONCATENATE(REPT("     ",AspectsConcerns!A11)," ",AspectsConcerns!B11)</f>
        <v xml:space="preserve">           Network Interoperability</v>
      </c>
      <c r="D11" s="7" t="s">
        <v>173</v>
      </c>
      <c r="E11" s="7" t="s">
        <v>206</v>
      </c>
    </row>
    <row r="12" spans="1:5" x14ac:dyDescent="0.25">
      <c r="A12" s="7">
        <v>3</v>
      </c>
      <c r="B12" s="7" t="s">
        <v>174</v>
      </c>
      <c r="C12" s="7" t="str">
        <f>CONCATENATE(REPT("     ",AspectsConcerns!A12)," ",AspectsConcerns!B12)</f>
        <v xml:space="preserve">                OSI-Session</v>
      </c>
      <c r="D12" s="7" t="s">
        <v>175</v>
      </c>
      <c r="E12" s="7" t="s">
        <v>207</v>
      </c>
    </row>
    <row r="13" spans="1:5" x14ac:dyDescent="0.25">
      <c r="A13" s="7">
        <v>3</v>
      </c>
      <c r="B13" s="7" t="s">
        <v>176</v>
      </c>
      <c r="C13" s="7" t="str">
        <f>CONCATENATE(REPT("     ",AspectsConcerns!A13)," ",AspectsConcerns!B13)</f>
        <v xml:space="preserve">                OSI-Transport</v>
      </c>
      <c r="D13" s="7" t="s">
        <v>177</v>
      </c>
      <c r="E13" s="7" t="s">
        <v>208</v>
      </c>
    </row>
    <row r="14" spans="1:5" x14ac:dyDescent="0.25">
      <c r="A14" s="7">
        <v>3</v>
      </c>
      <c r="B14" s="7" t="s">
        <v>178</v>
      </c>
      <c r="C14" s="7" t="str">
        <f>CONCATENATE(REPT("     ",AspectsConcerns!A14)," ",AspectsConcerns!B14)</f>
        <v xml:space="preserve">                OSI-Network</v>
      </c>
      <c r="D14" s="7" t="s">
        <v>179</v>
      </c>
      <c r="E14" s="7" t="s">
        <v>209</v>
      </c>
    </row>
    <row r="15" spans="1:5" ht="30" x14ac:dyDescent="0.25">
      <c r="A15" s="7">
        <v>2</v>
      </c>
      <c r="B15" s="7" t="s">
        <v>180</v>
      </c>
      <c r="C15" s="7" t="str">
        <f>CONCATENATE(REPT("     ",AspectsConcerns!A15)," ",AspectsConcerns!B15)</f>
        <v xml:space="preserve">           Basic Connectivity</v>
      </c>
      <c r="D15" s="7" t="s">
        <v>181</v>
      </c>
      <c r="E15" s="7" t="s">
        <v>210</v>
      </c>
    </row>
    <row r="16" spans="1:5" x14ac:dyDescent="0.25">
      <c r="A16" s="7">
        <v>3</v>
      </c>
      <c r="B16" s="7" t="s">
        <v>182</v>
      </c>
      <c r="C16" s="7" t="str">
        <f>CONCATENATE(REPT("     ",AspectsConcerns!A16)," ",AspectsConcerns!B16)</f>
        <v xml:space="preserve">                OSI-Data Link</v>
      </c>
      <c r="D16" s="7" t="s">
        <v>183</v>
      </c>
      <c r="E16" s="7" t="s">
        <v>211</v>
      </c>
    </row>
    <row r="17" spans="1:5" x14ac:dyDescent="0.25">
      <c r="A17" s="7">
        <v>3</v>
      </c>
      <c r="B17" s="7" t="s">
        <v>184</v>
      </c>
      <c r="C17" s="7" t="str">
        <f>CONCATENATE(REPT("     ",AspectsConcerns!A17)," ",AspectsConcerns!B17)</f>
        <v xml:space="preserve">                OSI-Physical</v>
      </c>
      <c r="D17" s="7" t="s">
        <v>185</v>
      </c>
      <c r="E17" s="7" t="s">
        <v>212</v>
      </c>
    </row>
    <row r="18" spans="1:5" ht="60" x14ac:dyDescent="0.25">
      <c r="A18" s="7">
        <v>1</v>
      </c>
      <c r="B18" s="7" t="s">
        <v>16</v>
      </c>
      <c r="C18" s="7" t="str">
        <f>CONCATENATE(REPT("     ",AspectsConcerns!A18)," ",AspectsConcerns!B18)</f>
        <v xml:space="preserve">      controllability</v>
      </c>
      <c r="D18" s="7" t="s">
        <v>187</v>
      </c>
      <c r="E18" s="7" t="s">
        <v>17</v>
      </c>
    </row>
    <row r="19" spans="1:5" x14ac:dyDescent="0.25">
      <c r="A19" s="7">
        <v>1</v>
      </c>
      <c r="B19" s="7" t="s">
        <v>18</v>
      </c>
      <c r="C19" s="7" t="str">
        <f>CONCATENATE(REPT("     ",AspectsConcerns!A19)," ",AspectsConcerns!B19)</f>
        <v xml:space="preserve">      functionality</v>
      </c>
      <c r="D19" s="7" t="s">
        <v>187</v>
      </c>
      <c r="E19" s="7" t="s">
        <v>19</v>
      </c>
    </row>
    <row r="20" spans="1:5" x14ac:dyDescent="0.25">
      <c r="A20" s="7">
        <v>1</v>
      </c>
      <c r="B20" s="7" t="s">
        <v>20</v>
      </c>
      <c r="C20" s="7" t="str">
        <f>CONCATENATE(REPT("     ",AspectsConcerns!A20)," ",AspectsConcerns!B20)</f>
        <v xml:space="preserve">      measurability</v>
      </c>
      <c r="D20" s="7" t="s">
        <v>187</v>
      </c>
      <c r="E20" s="7" t="s">
        <v>21</v>
      </c>
    </row>
    <row r="21" spans="1:5" ht="30" x14ac:dyDescent="0.25">
      <c r="A21" s="7">
        <v>1</v>
      </c>
      <c r="B21" s="7" t="s">
        <v>22</v>
      </c>
      <c r="C21" s="7" t="str">
        <f>CONCATENATE(REPT("     ",AspectsConcerns!A21)," ",AspectsConcerns!B21)</f>
        <v xml:space="preserve">      monitorability</v>
      </c>
      <c r="D21" s="7" t="s">
        <v>187</v>
      </c>
      <c r="E21" s="7" t="s">
        <v>23</v>
      </c>
    </row>
    <row r="22" spans="1:5" x14ac:dyDescent="0.25">
      <c r="A22" s="7">
        <v>1</v>
      </c>
      <c r="B22" s="7" t="s">
        <v>24</v>
      </c>
      <c r="C22" s="7" t="str">
        <f>CONCATENATE(REPT("     ",AspectsConcerns!A22)," ",AspectsConcerns!B22)</f>
        <v xml:space="preserve">      performance</v>
      </c>
      <c r="D22" s="7" t="s">
        <v>187</v>
      </c>
      <c r="E22" s="7" t="s">
        <v>25</v>
      </c>
    </row>
    <row r="23" spans="1:5" x14ac:dyDescent="0.25">
      <c r="A23" s="7">
        <v>1</v>
      </c>
      <c r="B23" s="7" t="s">
        <v>26</v>
      </c>
      <c r="C23" s="7" t="str">
        <f>CONCATENATE(REPT("     ",AspectsConcerns!A23)," ",AspectsConcerns!B23)</f>
        <v xml:space="preserve">      physical</v>
      </c>
      <c r="D23" s="7" t="s">
        <v>187</v>
      </c>
      <c r="E23" s="7" t="s">
        <v>27</v>
      </c>
    </row>
    <row r="24" spans="1:5" ht="45" x14ac:dyDescent="0.25">
      <c r="A24" s="7">
        <v>1</v>
      </c>
      <c r="B24" s="7" t="s">
        <v>28</v>
      </c>
      <c r="C24" s="7" t="str">
        <f>CONCATENATE(REPT("     ",AspectsConcerns!A24)," ",AspectsConcerns!B24)</f>
        <v xml:space="preserve">      physical context</v>
      </c>
      <c r="D24" s="7" t="s">
        <v>187</v>
      </c>
      <c r="E24" s="7" t="s">
        <v>29</v>
      </c>
    </row>
    <row r="25" spans="1:5" x14ac:dyDescent="0.25">
      <c r="A25" s="7">
        <v>1</v>
      </c>
      <c r="B25" s="7" t="s">
        <v>30</v>
      </c>
      <c r="C25" s="7" t="str">
        <f>CONCATENATE(REPT("     ",AspectsConcerns!A25)," ",AspectsConcerns!B25)</f>
        <v xml:space="preserve">      sensing</v>
      </c>
      <c r="D25" s="7" t="s">
        <v>187</v>
      </c>
      <c r="E25" s="7" t="s">
        <v>31</v>
      </c>
    </row>
    <row r="26" spans="1:5" ht="90" x14ac:dyDescent="0.25">
      <c r="A26" s="7">
        <v>1</v>
      </c>
      <c r="B26" s="7" t="s">
        <v>32</v>
      </c>
      <c r="C26" s="7" t="str">
        <f>CONCATENATE(REPT("     ",AspectsConcerns!A26)," ",AspectsConcerns!B26)</f>
        <v xml:space="preserve">      uncertainty</v>
      </c>
      <c r="D26" s="7" t="s">
        <v>187</v>
      </c>
      <c r="E26" s="7" t="s">
        <v>33</v>
      </c>
    </row>
    <row r="27" spans="1:5" ht="30" x14ac:dyDescent="0.25">
      <c r="A27" s="7">
        <v>1</v>
      </c>
      <c r="B27" s="7" t="s">
        <v>188</v>
      </c>
      <c r="C27" s="7" t="str">
        <f>CONCATENATE(REPT("     ",AspectsConcerns!A27)," ",AspectsConcerns!B27)</f>
        <v xml:space="preserve">      statesAndModes</v>
      </c>
      <c r="D27" s="7" t="s">
        <v>189</v>
      </c>
      <c r="E27" s="7" t="s">
        <v>227</v>
      </c>
    </row>
    <row r="28" spans="1:5" x14ac:dyDescent="0.25">
      <c r="A28" s="7">
        <v>1</v>
      </c>
      <c r="B28" s="7" t="s">
        <v>225</v>
      </c>
      <c r="C28" s="7" t="str">
        <f>CONCATENATE(REPT("     ",AspectsConcerns!A28)," ",AspectsConcerns!B28)</f>
        <v xml:space="preserve">      manageability</v>
      </c>
      <c r="D28" s="7"/>
      <c r="E28" s="7" t="s">
        <v>226</v>
      </c>
    </row>
    <row r="29" spans="1:5" ht="44.1" customHeight="1" x14ac:dyDescent="0.25">
      <c r="A29" s="7">
        <v>2</v>
      </c>
      <c r="B29" s="7" t="s">
        <v>194</v>
      </c>
      <c r="C29" s="7" t="str">
        <f>CONCATENATE(REPT("     ",AspectsConcerns!A29)," ",AspectsConcerns!B29)</f>
        <v xml:space="preserve">           configurationManagement</v>
      </c>
      <c r="D29" s="7" t="s">
        <v>190</v>
      </c>
      <c r="E29" s="7" t="s">
        <v>196</v>
      </c>
    </row>
    <row r="30" spans="1:5" ht="45" x14ac:dyDescent="0.25">
      <c r="A30" s="7">
        <v>2</v>
      </c>
      <c r="B30" s="7" t="s">
        <v>195</v>
      </c>
      <c r="C30" s="7" t="str">
        <f>CONCATENATE(REPT("     ",AspectsConcerns!A30)," ",AspectsConcerns!B30)</f>
        <v xml:space="preserve">           configurationForLeastFFunctionality</v>
      </c>
      <c r="D30" s="7" t="s">
        <v>191</v>
      </c>
      <c r="E30" s="7" t="s">
        <v>214</v>
      </c>
    </row>
    <row r="31" spans="1:5" ht="30" x14ac:dyDescent="0.25">
      <c r="A31" s="7">
        <v>2</v>
      </c>
      <c r="B31" s="7" t="s">
        <v>192</v>
      </c>
      <c r="C31" s="7" t="str">
        <f>CONCATENATE(REPT("     ",AspectsConcerns!A31)," ",AspectsConcerns!B31)</f>
        <v xml:space="preserve">           Component Inventory</v>
      </c>
      <c r="D31" s="7" t="s">
        <v>193</v>
      </c>
      <c r="E31" s="7" t="s">
        <v>215</v>
      </c>
    </row>
    <row r="32" spans="1:5" x14ac:dyDescent="0.25">
      <c r="A32" s="5">
        <v>0</v>
      </c>
      <c r="B32" s="5" t="s">
        <v>4</v>
      </c>
      <c r="C32" s="5" t="str">
        <f>CONCATENATE(REPT("     ",AspectsConcerns!A32)," ",AspectsConcerns!B32)</f>
        <v xml:space="preserve"> Business</v>
      </c>
      <c r="D32" s="5" t="s">
        <v>187</v>
      </c>
      <c r="E32" s="6" t="s">
        <v>116</v>
      </c>
    </row>
    <row r="33" spans="1:5" x14ac:dyDescent="0.25">
      <c r="A33" s="7">
        <v>1</v>
      </c>
      <c r="B33" s="7" t="s">
        <v>34</v>
      </c>
      <c r="C33" s="7" t="str">
        <f>CONCATENATE(REPT("     ",AspectsConcerns!A33)," ",AspectsConcerns!B33)</f>
        <v xml:space="preserve">      enterprise</v>
      </c>
      <c r="D33" s="7" t="s">
        <v>187</v>
      </c>
      <c r="E33" s="7" t="s">
        <v>35</v>
      </c>
    </row>
    <row r="34" spans="1:5" ht="30" x14ac:dyDescent="0.25">
      <c r="A34" s="7">
        <v>1</v>
      </c>
      <c r="B34" s="7" t="s">
        <v>2</v>
      </c>
      <c r="C34" s="7" t="str">
        <f>CONCATENATE(REPT("     ",AspectsConcerns!A34)," ",AspectsConcerns!B34)</f>
        <v xml:space="preserve">      cost</v>
      </c>
      <c r="D34" s="7" t="s">
        <v>187</v>
      </c>
      <c r="E34" s="7" t="s">
        <v>36</v>
      </c>
    </row>
    <row r="35" spans="1:5" x14ac:dyDescent="0.25">
      <c r="A35" s="7">
        <v>1</v>
      </c>
      <c r="B35" s="7" t="s">
        <v>37</v>
      </c>
      <c r="C35" s="7" t="str">
        <f>CONCATENATE(REPT("     ",AspectsConcerns!A35)," ",AspectsConcerns!B35)</f>
        <v xml:space="preserve">      environment</v>
      </c>
      <c r="D35" s="7" t="s">
        <v>187</v>
      </c>
      <c r="E35" s="7" t="s">
        <v>198</v>
      </c>
    </row>
    <row r="36" spans="1:5" x14ac:dyDescent="0.25">
      <c r="A36" s="7">
        <v>1</v>
      </c>
      <c r="B36" s="7" t="s">
        <v>38</v>
      </c>
      <c r="C36" s="7" t="str">
        <f>CONCATENATE(REPT("     ",AspectsConcerns!A36)," ",AspectsConcerns!B36)</f>
        <v xml:space="preserve">      policy</v>
      </c>
      <c r="D36" s="7" t="s">
        <v>187</v>
      </c>
      <c r="E36" s="7" t="s">
        <v>39</v>
      </c>
    </row>
    <row r="37" spans="1:5" ht="30" x14ac:dyDescent="0.25">
      <c r="A37" s="7">
        <v>1</v>
      </c>
      <c r="B37" s="7" t="s">
        <v>40</v>
      </c>
      <c r="C37" s="7" t="str">
        <f>CONCATENATE(REPT("     ",AspectsConcerns!A37)," ",AspectsConcerns!B37)</f>
        <v xml:space="preserve">      quality</v>
      </c>
      <c r="D37" s="7" t="s">
        <v>187</v>
      </c>
      <c r="E37" s="7" t="s">
        <v>41</v>
      </c>
    </row>
    <row r="38" spans="1:5" x14ac:dyDescent="0.25">
      <c r="A38" s="7">
        <v>1</v>
      </c>
      <c r="B38" s="7" t="s">
        <v>42</v>
      </c>
      <c r="C38" s="7" t="str">
        <f>CONCATENATE(REPT("     ",AspectsConcerns!A38)," ",AspectsConcerns!B38)</f>
        <v xml:space="preserve">      regulatory</v>
      </c>
      <c r="D38" s="7" t="s">
        <v>187</v>
      </c>
      <c r="E38" s="7" t="s">
        <v>43</v>
      </c>
    </row>
    <row r="39" spans="1:5" x14ac:dyDescent="0.25">
      <c r="A39" s="7">
        <v>1</v>
      </c>
      <c r="B39" s="7" t="s">
        <v>44</v>
      </c>
      <c r="C39" s="7" t="str">
        <f>CONCATENATE(REPT("     ",AspectsConcerns!A39)," ",AspectsConcerns!B39)</f>
        <v xml:space="preserve">      time to market</v>
      </c>
      <c r="D39" s="7" t="s">
        <v>187</v>
      </c>
      <c r="E39" s="7" t="s">
        <v>45</v>
      </c>
    </row>
    <row r="40" spans="1:5" ht="45" x14ac:dyDescent="0.25">
      <c r="A40" s="7">
        <v>1</v>
      </c>
      <c r="B40" s="7" t="s">
        <v>46</v>
      </c>
      <c r="C40" s="7" t="str">
        <f>CONCATENATE(REPT("     ",AspectsConcerns!A40)," ",AspectsConcerns!B40)</f>
        <v xml:space="preserve">      utility</v>
      </c>
      <c r="D40" s="7" t="s">
        <v>187</v>
      </c>
      <c r="E40" s="7" t="s">
        <v>47</v>
      </c>
    </row>
    <row r="41" spans="1:5" x14ac:dyDescent="0.25">
      <c r="A41" s="7">
        <v>1</v>
      </c>
      <c r="B41" s="7" t="s">
        <v>197</v>
      </c>
      <c r="C41" s="7" t="str">
        <f>CONCATENATE(REPT("     ",AspectsConcerns!A41)," ",AspectsConcerns!B41)</f>
        <v xml:space="preserve">      Planning</v>
      </c>
      <c r="D41" s="7"/>
      <c r="E41" s="7" t="s">
        <v>213</v>
      </c>
    </row>
    <row r="42" spans="1:5" x14ac:dyDescent="0.25">
      <c r="A42" s="5">
        <v>0</v>
      </c>
      <c r="B42" s="5" t="s">
        <v>5</v>
      </c>
      <c r="C42" s="5" t="str">
        <f>CONCATENATE(REPT("     ",AspectsConcerns!A42)," ",AspectsConcerns!B42)</f>
        <v xml:space="preserve"> Human</v>
      </c>
      <c r="D42" s="5" t="s">
        <v>187</v>
      </c>
      <c r="E42" s="6" t="s">
        <v>117</v>
      </c>
    </row>
    <row r="43" spans="1:5" x14ac:dyDescent="0.25">
      <c r="A43" s="7">
        <v>1</v>
      </c>
      <c r="B43" s="7" t="s">
        <v>48</v>
      </c>
      <c r="C43" s="7" t="str">
        <f>CONCATENATE(REPT("     ",AspectsConcerns!A43)," ",AspectsConcerns!B43)</f>
        <v xml:space="preserve">      human factors</v>
      </c>
      <c r="D43" s="7" t="s">
        <v>187</v>
      </c>
      <c r="E43" s="7" t="s">
        <v>49</v>
      </c>
    </row>
    <row r="44" spans="1:5" ht="60" x14ac:dyDescent="0.25">
      <c r="A44" s="7">
        <v>1</v>
      </c>
      <c r="B44" s="7" t="s">
        <v>50</v>
      </c>
      <c r="C44" s="7" t="str">
        <f>CONCATENATE(REPT("     ",AspectsConcerns!A44)," ",AspectsConcerns!B44)</f>
        <v xml:space="preserve">      usability</v>
      </c>
      <c r="D44" s="7" t="s">
        <v>187</v>
      </c>
      <c r="E44" s="7" t="s">
        <v>51</v>
      </c>
    </row>
    <row r="45" spans="1:5" x14ac:dyDescent="0.25">
      <c r="A45" s="5">
        <v>0</v>
      </c>
      <c r="B45" s="5" t="s">
        <v>6</v>
      </c>
      <c r="C45" s="5" t="str">
        <f>CONCATENATE(REPT("     ",AspectsConcerns!A45)," ",AspectsConcerns!B45)</f>
        <v xml:space="preserve"> Trustworthiness</v>
      </c>
      <c r="D45" s="5" t="s">
        <v>187</v>
      </c>
      <c r="E45" s="6" t="s">
        <v>118</v>
      </c>
    </row>
    <row r="46" spans="1:5" ht="75" x14ac:dyDescent="0.25">
      <c r="A46" s="7">
        <v>1</v>
      </c>
      <c r="B46" s="7" t="s">
        <v>52</v>
      </c>
      <c r="C46" s="7" t="str">
        <f>CONCATENATE(REPT("     ",AspectsConcerns!A46)," ",AspectsConcerns!B46)</f>
        <v xml:space="preserve">      privacy</v>
      </c>
      <c r="D46" s="7" t="s">
        <v>187</v>
      </c>
      <c r="E46" s="7" t="s">
        <v>53</v>
      </c>
    </row>
    <row r="47" spans="1:5" x14ac:dyDescent="0.25">
      <c r="A47" s="7">
        <v>1</v>
      </c>
      <c r="B47" s="7" t="s">
        <v>54</v>
      </c>
      <c r="C47" s="7" t="str">
        <f>CONCATENATE(REPT("     ",AspectsConcerns!A47)," ",AspectsConcerns!B47)</f>
        <v xml:space="preserve">      reliability</v>
      </c>
      <c r="D47" s="7" t="s">
        <v>187</v>
      </c>
      <c r="E47" s="7" t="s">
        <v>55</v>
      </c>
    </row>
    <row r="48" spans="1:5" ht="30" x14ac:dyDescent="0.25">
      <c r="A48" s="7">
        <v>1</v>
      </c>
      <c r="B48" s="7" t="s">
        <v>56</v>
      </c>
      <c r="C48" s="7" t="str">
        <f>CONCATENATE(REPT("     ",AspectsConcerns!A48)," ",AspectsConcerns!B48)</f>
        <v xml:space="preserve">      resilience</v>
      </c>
      <c r="D48" s="7" t="s">
        <v>187</v>
      </c>
      <c r="E48" s="7" t="s">
        <v>57</v>
      </c>
    </row>
    <row r="49" spans="1:5" ht="30" x14ac:dyDescent="0.25">
      <c r="A49" s="7">
        <v>1</v>
      </c>
      <c r="B49" s="7" t="s">
        <v>58</v>
      </c>
      <c r="C49" s="7" t="str">
        <f>CONCATENATE(REPT("     ",AspectsConcerns!A49)," ",AspectsConcerns!B49)</f>
        <v xml:space="preserve">      safety</v>
      </c>
      <c r="D49" s="7" t="s">
        <v>187</v>
      </c>
      <c r="E49" s="7" t="s">
        <v>59</v>
      </c>
    </row>
    <row r="50" spans="1:5" ht="90" x14ac:dyDescent="0.25">
      <c r="A50" s="7">
        <v>1</v>
      </c>
      <c r="B50" s="7" t="s">
        <v>60</v>
      </c>
      <c r="C50" s="7" t="str">
        <f>CONCATENATE(REPT("     ",AspectsConcerns!A50)," ",AspectsConcerns!B50)</f>
        <v xml:space="preserve">      security</v>
      </c>
      <c r="D50" s="7" t="s">
        <v>187</v>
      </c>
      <c r="E50" s="7" t="s">
        <v>113</v>
      </c>
    </row>
    <row r="51" spans="1:5" x14ac:dyDescent="0.25">
      <c r="A51" s="7">
        <v>2</v>
      </c>
      <c r="B51" s="7" t="s">
        <v>108</v>
      </c>
      <c r="C51" s="7" t="str">
        <f>CONCATENATE(REPT("     ",AspectsConcerns!A51)," ",AspectsConcerns!B51)</f>
        <v xml:space="preserve">           cybersecurity</v>
      </c>
      <c r="D51" s="7" t="s">
        <v>187</v>
      </c>
      <c r="E51" s="7" t="s">
        <v>217</v>
      </c>
    </row>
    <row r="52" spans="1:5" x14ac:dyDescent="0.25">
      <c r="A52" s="7">
        <v>3</v>
      </c>
      <c r="B52" s="7" t="s">
        <v>107</v>
      </c>
      <c r="C52" s="7" t="str">
        <f>CONCATENATE(REPT("     ",AspectsConcerns!A52)," ",AspectsConcerns!B52)</f>
        <v xml:space="preserve">                confidentiality</v>
      </c>
      <c r="D52" s="7" t="s">
        <v>187</v>
      </c>
      <c r="E52" s="7" t="s">
        <v>112</v>
      </c>
    </row>
    <row r="53" spans="1:5" ht="30" x14ac:dyDescent="0.25">
      <c r="A53" s="7">
        <v>3</v>
      </c>
      <c r="B53" s="7" t="s">
        <v>110</v>
      </c>
      <c r="C53" s="7" t="str">
        <f>CONCATENATE(REPT("     ",AspectsConcerns!A53)," ",AspectsConcerns!B53)</f>
        <v xml:space="preserve">                integrity</v>
      </c>
      <c r="D53" s="7" t="s">
        <v>187</v>
      </c>
      <c r="E53" s="7" t="s">
        <v>218</v>
      </c>
    </row>
    <row r="54" spans="1:5" x14ac:dyDescent="0.25">
      <c r="A54" s="7">
        <v>3</v>
      </c>
      <c r="B54" s="7" t="s">
        <v>111</v>
      </c>
      <c r="C54" s="7" t="str">
        <f>CONCATENATE(REPT("     ",AspectsConcerns!A54)," ",AspectsConcerns!B54)</f>
        <v xml:space="preserve">                availability</v>
      </c>
      <c r="D54" s="7" t="s">
        <v>187</v>
      </c>
      <c r="E54" s="7" t="s">
        <v>114</v>
      </c>
    </row>
    <row r="55" spans="1:5" x14ac:dyDescent="0.25">
      <c r="A55" s="7">
        <v>2</v>
      </c>
      <c r="B55" s="7" t="s">
        <v>109</v>
      </c>
      <c r="C55" s="7" t="str">
        <f>CONCATENATE(REPT("     ",AspectsConcerns!A55)," ",AspectsConcerns!B55)</f>
        <v xml:space="preserve">           physicalsecurity</v>
      </c>
      <c r="D55" s="7" t="s">
        <v>187</v>
      </c>
      <c r="E55" s="7" t="s">
        <v>216</v>
      </c>
    </row>
    <row r="56" spans="1:5" ht="30" x14ac:dyDescent="0.25">
      <c r="A56" s="5">
        <v>0</v>
      </c>
      <c r="B56" s="5" t="s">
        <v>7</v>
      </c>
      <c r="C56" s="5" t="str">
        <f>CONCATENATE(REPT("     ",AspectsConcerns!A56)," ",AspectsConcerns!B56)</f>
        <v xml:space="preserve"> Timing</v>
      </c>
      <c r="D56" s="5" t="s">
        <v>187</v>
      </c>
      <c r="E56" s="6" t="s">
        <v>119</v>
      </c>
    </row>
    <row r="57" spans="1:5" x14ac:dyDescent="0.25">
      <c r="A57" s="7">
        <v>1</v>
      </c>
      <c r="B57" s="7" t="s">
        <v>61</v>
      </c>
      <c r="C57" s="7" t="str">
        <f>CONCATENATE(REPT("     ",AspectsConcerns!A57)," ",AspectsConcerns!B57)</f>
        <v xml:space="preserve">      logical time</v>
      </c>
      <c r="D57" s="7" t="s">
        <v>187</v>
      </c>
      <c r="E57" s="7" t="s">
        <v>62</v>
      </c>
    </row>
    <row r="58" spans="1:5" ht="60" x14ac:dyDescent="0.25">
      <c r="A58" s="7">
        <v>1</v>
      </c>
      <c r="B58" s="7" t="s">
        <v>63</v>
      </c>
      <c r="C58" s="7" t="str">
        <f>CONCATENATE(REPT("     ",AspectsConcerns!A58)," ",AspectsConcerns!B58)</f>
        <v xml:space="preserve">      managing timing and latency</v>
      </c>
      <c r="D58" s="7" t="s">
        <v>187</v>
      </c>
      <c r="E58" s="7" t="s">
        <v>64</v>
      </c>
    </row>
    <row r="59" spans="1:5" ht="45" x14ac:dyDescent="0.25">
      <c r="A59" s="7">
        <v>1</v>
      </c>
      <c r="B59" s="7" t="s">
        <v>65</v>
      </c>
      <c r="C59" s="7" t="str">
        <f>CONCATENATE(REPT("     ",AspectsConcerns!A59)," ",AspectsConcerns!B59)</f>
        <v xml:space="preserve">      synchronization</v>
      </c>
      <c r="D59" s="7" t="s">
        <v>187</v>
      </c>
      <c r="E59" s="7" t="s">
        <v>66</v>
      </c>
    </row>
    <row r="60" spans="1:5" ht="30" x14ac:dyDescent="0.25">
      <c r="A60" s="7">
        <v>1</v>
      </c>
      <c r="B60" s="7" t="s">
        <v>67</v>
      </c>
      <c r="C60" s="7" t="str">
        <f>CONCATENATE(REPT("     ",AspectsConcerns!A60)," ",AspectsConcerns!B60)</f>
        <v xml:space="preserve">      time awareness</v>
      </c>
      <c r="D60" s="7" t="s">
        <v>187</v>
      </c>
      <c r="E60" s="7" t="s">
        <v>68</v>
      </c>
    </row>
    <row r="61" spans="1:5" ht="60" x14ac:dyDescent="0.25">
      <c r="A61" s="7">
        <v>1</v>
      </c>
      <c r="B61" s="7" t="s">
        <v>69</v>
      </c>
      <c r="C61" s="7" t="str">
        <f>CONCATENATE(REPT("     ",AspectsConcerns!A61)," ",AspectsConcerns!B61)</f>
        <v xml:space="preserve">      time-interval and latency control</v>
      </c>
      <c r="D61" s="7" t="s">
        <v>187</v>
      </c>
      <c r="E61" s="7" t="s">
        <v>70</v>
      </c>
    </row>
    <row r="62" spans="1:5" x14ac:dyDescent="0.25">
      <c r="A62" s="5">
        <v>0</v>
      </c>
      <c r="B62" s="5" t="s">
        <v>8</v>
      </c>
      <c r="C62" s="5" t="str">
        <f>CONCATENATE(REPT("     ",AspectsConcerns!A62)," ",AspectsConcerns!B62)</f>
        <v xml:space="preserve"> Data</v>
      </c>
      <c r="D62" s="5" t="s">
        <v>187</v>
      </c>
      <c r="E62" s="6" t="s">
        <v>120</v>
      </c>
    </row>
    <row r="63" spans="1:5" x14ac:dyDescent="0.25">
      <c r="A63" s="7">
        <v>1</v>
      </c>
      <c r="B63" s="7" t="s">
        <v>71</v>
      </c>
      <c r="C63" s="7" t="str">
        <f>CONCATENATE(REPT("     ",AspectsConcerns!A63)," ",AspectsConcerns!B63)</f>
        <v xml:space="preserve">      data semantics</v>
      </c>
      <c r="D63" s="7" t="s">
        <v>187</v>
      </c>
      <c r="E63" s="7" t="s">
        <v>72</v>
      </c>
    </row>
    <row r="64" spans="1:5" x14ac:dyDescent="0.25">
      <c r="A64" s="7">
        <v>2</v>
      </c>
      <c r="B64" s="7" t="s">
        <v>134</v>
      </c>
      <c r="C64" s="7" t="str">
        <f>CONCATENATE(REPT("     ",AspectsConcerns!A64)," ",AspectsConcerns!B64)</f>
        <v xml:space="preserve">           data models</v>
      </c>
      <c r="D64" s="7" t="s">
        <v>187</v>
      </c>
      <c r="E64" s="7" t="s">
        <v>141</v>
      </c>
    </row>
    <row r="65" spans="1:5" x14ac:dyDescent="0.25">
      <c r="A65" s="7">
        <v>2</v>
      </c>
      <c r="B65" s="7" t="s">
        <v>135</v>
      </c>
      <c r="C65" s="7" t="str">
        <f>CONCATENATE(REPT("     ",AspectsConcerns!A65)," ",AspectsConcerns!B65)</f>
        <v xml:space="preserve">           granularity</v>
      </c>
      <c r="D65" s="7" t="s">
        <v>187</v>
      </c>
      <c r="E65" s="7" t="s">
        <v>148</v>
      </c>
    </row>
    <row r="66" spans="1:5" x14ac:dyDescent="0.25">
      <c r="A66" s="7">
        <v>2</v>
      </c>
      <c r="B66" s="7" t="s">
        <v>136</v>
      </c>
      <c r="C66" s="7" t="str">
        <f>CONCATENATE(REPT("     ",AspectsConcerns!A66)," ",AspectsConcerns!B66)</f>
        <v xml:space="preserve">           meaning</v>
      </c>
      <c r="D66" s="7" t="s">
        <v>187</v>
      </c>
      <c r="E66" s="7" t="s">
        <v>149</v>
      </c>
    </row>
    <row r="67" spans="1:5" ht="30" x14ac:dyDescent="0.25">
      <c r="A67" s="7">
        <v>1</v>
      </c>
      <c r="B67" s="7" t="s">
        <v>73</v>
      </c>
      <c r="C67" s="7" t="str">
        <f>CONCATENATE(REPT("     ",AspectsConcerns!A67)," ",AspectsConcerns!B67)</f>
        <v xml:space="preserve">      identity</v>
      </c>
      <c r="D67" s="7" t="s">
        <v>187</v>
      </c>
      <c r="E67" s="7" t="s">
        <v>74</v>
      </c>
    </row>
    <row r="68" spans="1:5" ht="30" x14ac:dyDescent="0.25">
      <c r="A68" s="7">
        <v>2</v>
      </c>
      <c r="B68" s="7" t="s">
        <v>219</v>
      </c>
      <c r="C68" s="7" t="str">
        <f>CONCATENATE(REPT("     ",AspectsConcerns!A68)," ",AspectsConcerns!B68)</f>
        <v xml:space="preserve">           resourceIdentification</v>
      </c>
      <c r="D68" s="7" t="s">
        <v>199</v>
      </c>
      <c r="E68" s="7" t="s">
        <v>150</v>
      </c>
    </row>
    <row r="69" spans="1:5" ht="30" x14ac:dyDescent="0.25">
      <c r="A69" s="7">
        <v>3</v>
      </c>
      <c r="B69" s="7" t="s">
        <v>220</v>
      </c>
      <c r="C69" s="7" t="str">
        <f>CONCATENATE(REPT("     ",AspectsConcerns!A69)," ",AspectsConcerns!B69)</f>
        <v xml:space="preserve">                userIdentification</v>
      </c>
      <c r="D69" s="7" t="s">
        <v>200</v>
      </c>
      <c r="E69" s="7"/>
    </row>
    <row r="70" spans="1:5" ht="30" x14ac:dyDescent="0.25">
      <c r="A70" s="7">
        <v>3</v>
      </c>
      <c r="B70" s="7" t="s">
        <v>221</v>
      </c>
      <c r="C70" s="7" t="str">
        <f>CONCATENATE(REPT("     ",AspectsConcerns!A70)," ",AspectsConcerns!B70)</f>
        <v xml:space="preserve">                deviceIdentification</v>
      </c>
      <c r="D70" s="7" t="s">
        <v>201</v>
      </c>
      <c r="E70" s="7"/>
    </row>
    <row r="71" spans="1:5" ht="30" x14ac:dyDescent="0.25">
      <c r="A71" s="7">
        <v>3</v>
      </c>
      <c r="B71" s="7" t="s">
        <v>222</v>
      </c>
      <c r="C71" s="7" t="str">
        <f>CONCATENATE(REPT("     ",AspectsConcerns!A71)," ",AspectsConcerns!B71)</f>
        <v xml:space="preserve">                objectIdentification</v>
      </c>
      <c r="D71" s="7" t="s">
        <v>202</v>
      </c>
      <c r="E71" s="7"/>
    </row>
    <row r="72" spans="1:5" ht="30" x14ac:dyDescent="0.25">
      <c r="A72" s="7">
        <v>3</v>
      </c>
      <c r="B72" s="7" t="s">
        <v>223</v>
      </c>
      <c r="C72" s="7" t="str">
        <f>CONCATENATE(REPT("     ",AspectsConcerns!A72)," ",AspectsConcerns!B72)</f>
        <v xml:space="preserve">                classIdentification</v>
      </c>
      <c r="D72" s="7"/>
      <c r="E72" s="7"/>
    </row>
    <row r="73" spans="1:5" x14ac:dyDescent="0.25">
      <c r="A73" s="7">
        <v>2</v>
      </c>
      <c r="B73" s="7" t="s">
        <v>137</v>
      </c>
      <c r="C73" s="7" t="str">
        <f>CONCATENATE(REPT("     ",AspectsConcerns!A73)," ",AspectsConcerns!B73)</f>
        <v xml:space="preserve">           authentication</v>
      </c>
      <c r="D73" s="7" t="s">
        <v>187</v>
      </c>
      <c r="E73" s="7" t="s">
        <v>151</v>
      </c>
    </row>
    <row r="74" spans="1:5" x14ac:dyDescent="0.25">
      <c r="A74" s="7">
        <v>2</v>
      </c>
      <c r="B74" s="7" t="s">
        <v>138</v>
      </c>
      <c r="C74" s="7" t="str">
        <f>CONCATENATE(REPT("     ",AspectsConcerns!A74)," ",AspectsConcerns!B74)</f>
        <v xml:space="preserve">           authorization</v>
      </c>
      <c r="D74" s="7" t="s">
        <v>187</v>
      </c>
      <c r="E74" s="7" t="s">
        <v>152</v>
      </c>
    </row>
    <row r="75" spans="1:5" x14ac:dyDescent="0.25">
      <c r="A75" s="7">
        <v>2</v>
      </c>
      <c r="B75" s="7" t="s">
        <v>139</v>
      </c>
      <c r="C75" s="7" t="str">
        <f>CONCATENATE(REPT("     ",AspectsConcerns!A75)," ",AspectsConcerns!B75)</f>
        <v xml:space="preserve">           verification</v>
      </c>
      <c r="D75" s="7" t="s">
        <v>187</v>
      </c>
      <c r="E75" s="7" t="s">
        <v>153</v>
      </c>
    </row>
    <row r="76" spans="1:5" x14ac:dyDescent="0.25">
      <c r="A76" s="7">
        <v>2</v>
      </c>
      <c r="B76" s="7" t="s">
        <v>110</v>
      </c>
      <c r="C76" s="7" t="str">
        <f>CONCATENATE(REPT("     ",AspectsConcerns!A76)," ",AspectsConcerns!B76)</f>
        <v xml:space="preserve">           integrity</v>
      </c>
      <c r="D76" s="7" t="s">
        <v>187</v>
      </c>
      <c r="E76" s="7" t="s">
        <v>154</v>
      </c>
    </row>
    <row r="77" spans="1:5" x14ac:dyDescent="0.25">
      <c r="A77" s="7">
        <v>2</v>
      </c>
      <c r="B77" s="7" t="s">
        <v>224</v>
      </c>
      <c r="C77" s="7" t="str">
        <f>CONCATENATE(REPT("     ",AspectsConcerns!A77)," ",AspectsConcerns!B77)</f>
        <v xml:space="preserve">           configuration</v>
      </c>
      <c r="D77" s="7" t="s">
        <v>187</v>
      </c>
      <c r="E77" s="7" t="s">
        <v>155</v>
      </c>
    </row>
    <row r="78" spans="1:5" x14ac:dyDescent="0.25">
      <c r="A78" s="7">
        <v>2</v>
      </c>
      <c r="B78" s="7" t="s">
        <v>140</v>
      </c>
      <c r="C78" s="7" t="str">
        <f>CONCATENATE(REPT("     ",AspectsConcerns!A78)," ",AspectsConcerns!B78)</f>
        <v xml:space="preserve">           provenance</v>
      </c>
      <c r="D78" s="7" t="s">
        <v>187</v>
      </c>
      <c r="E78" s="7" t="s">
        <v>156</v>
      </c>
    </row>
    <row r="79" spans="1:5" ht="30" x14ac:dyDescent="0.25">
      <c r="A79" s="7">
        <v>1</v>
      </c>
      <c r="B79" s="7" t="s">
        <v>75</v>
      </c>
      <c r="C79" s="7" t="str">
        <f>CONCATENATE(REPT("     ",AspectsConcerns!A79)," ",AspectsConcerns!B79)</f>
        <v xml:space="preserve">      operations on data</v>
      </c>
      <c r="D79" s="7" t="s">
        <v>187</v>
      </c>
      <c r="E79" s="7" t="s">
        <v>76</v>
      </c>
    </row>
    <row r="80" spans="1:5" x14ac:dyDescent="0.25">
      <c r="A80" s="7">
        <v>2</v>
      </c>
      <c r="B80" s="7" t="s">
        <v>130</v>
      </c>
      <c r="C80" s="7" t="str">
        <f>CONCATENATE(REPT("     ",AspectsConcerns!A80)," ",AspectsConcerns!B80)</f>
        <v xml:space="preserve">           analytics</v>
      </c>
      <c r="D80" s="7" t="s">
        <v>187</v>
      </c>
      <c r="E80" s="7" t="s">
        <v>130</v>
      </c>
    </row>
    <row r="81" spans="1:5" x14ac:dyDescent="0.25">
      <c r="A81" s="7">
        <v>2</v>
      </c>
      <c r="B81" s="7" t="s">
        <v>125</v>
      </c>
      <c r="C81" s="7" t="str">
        <f>CONCATENATE(REPT("     ",AspectsConcerns!A81)," ",AspectsConcerns!B81)</f>
        <v xml:space="preserve">           fusion</v>
      </c>
      <c r="D81" s="7" t="s">
        <v>187</v>
      </c>
      <c r="E81" s="7" t="s">
        <v>127</v>
      </c>
    </row>
    <row r="82" spans="1:5" x14ac:dyDescent="0.25">
      <c r="A82" s="7">
        <v>2</v>
      </c>
      <c r="B82" s="7" t="s">
        <v>131</v>
      </c>
      <c r="C82" s="7" t="str">
        <f>CONCATENATE(REPT("     ",AspectsConcerns!A82)," ",AspectsConcerns!B82)</f>
        <v xml:space="preserve">           storage</v>
      </c>
      <c r="D82" s="7" t="s">
        <v>187</v>
      </c>
      <c r="E82" s="7" t="s">
        <v>128</v>
      </c>
    </row>
    <row r="83" spans="1:5" ht="30" x14ac:dyDescent="0.25">
      <c r="A83" s="7">
        <v>2</v>
      </c>
      <c r="B83" s="7" t="s">
        <v>132</v>
      </c>
      <c r="C83" s="7" t="str">
        <f>CONCATENATE(REPT("     ",AspectsConcerns!A83)," ",AspectsConcerns!B83)</f>
        <v xml:space="preserve">           aggregation/disaggregation</v>
      </c>
      <c r="D83" s="7" t="s">
        <v>187</v>
      </c>
      <c r="E83" s="7" t="s">
        <v>158</v>
      </c>
    </row>
    <row r="84" spans="1:5" x14ac:dyDescent="0.25">
      <c r="A84" s="7">
        <v>2</v>
      </c>
      <c r="B84" s="7" t="s">
        <v>133</v>
      </c>
      <c r="C84" s="7" t="str">
        <f>CONCATENATE(REPT("     ",AspectsConcerns!A84)," ",AspectsConcerns!B84)</f>
        <v xml:space="preserve">           transformation</v>
      </c>
      <c r="D84" s="7" t="s">
        <v>187</v>
      </c>
      <c r="E84" s="7" t="s">
        <v>157</v>
      </c>
    </row>
    <row r="85" spans="1:5" ht="30" x14ac:dyDescent="0.25">
      <c r="A85" s="7">
        <v>1</v>
      </c>
      <c r="B85" s="7" t="s">
        <v>77</v>
      </c>
      <c r="C85" s="7" t="str">
        <f>CONCATENATE(REPT("     ",AspectsConcerns!A85)," ",AspectsConcerns!B85)</f>
        <v xml:space="preserve">      relationship between data</v>
      </c>
      <c r="D85" s="7" t="s">
        <v>187</v>
      </c>
      <c r="E85" s="7" t="s">
        <v>78</v>
      </c>
    </row>
    <row r="86" spans="1:5" x14ac:dyDescent="0.25">
      <c r="A86" s="7">
        <v>2</v>
      </c>
      <c r="B86" s="7" t="s">
        <v>142</v>
      </c>
      <c r="C86" s="7" t="str">
        <f>CONCATENATE(REPT("     ",AspectsConcerns!A86)," ",AspectsConcerns!B86)</f>
        <v xml:space="preserve">           time of data</v>
      </c>
      <c r="D86" s="7" t="s">
        <v>187</v>
      </c>
      <c r="E86" s="7" t="s">
        <v>159</v>
      </c>
    </row>
    <row r="87" spans="1:5" ht="45" x14ac:dyDescent="0.25">
      <c r="A87" s="7">
        <v>2</v>
      </c>
      <c r="B87" s="7" t="s">
        <v>143</v>
      </c>
      <c r="C87" s="7" t="str">
        <f>CONCATENATE(REPT("     ",AspectsConcerns!A87)," ",AspectsConcerns!B87)</f>
        <v xml:space="preserve">           related data (including metadata)</v>
      </c>
      <c r="D87" s="7" t="s">
        <v>187</v>
      </c>
      <c r="E87" s="7" t="s">
        <v>160</v>
      </c>
    </row>
    <row r="88" spans="1:5" x14ac:dyDescent="0.25">
      <c r="A88" s="7">
        <v>2</v>
      </c>
      <c r="B88" s="7" t="s">
        <v>144</v>
      </c>
      <c r="C88" s="7" t="str">
        <f>CONCATENATE(REPT("     ",AspectsConcerns!A88)," ",AspectsConcerns!B88)</f>
        <v xml:space="preserve">           location of data</v>
      </c>
      <c r="D88" s="7" t="s">
        <v>187</v>
      </c>
      <c r="E88" s="7" t="s">
        <v>144</v>
      </c>
    </row>
    <row r="89" spans="1:5" x14ac:dyDescent="0.25">
      <c r="A89" s="7">
        <v>2</v>
      </c>
      <c r="B89" s="7" t="s">
        <v>145</v>
      </c>
      <c r="C89" s="7" t="str">
        <f>CONCATENATE(REPT("     ",AspectsConcerns!A89)," ",AspectsConcerns!B89)</f>
        <v xml:space="preserve">           inheritance</v>
      </c>
      <c r="D89" s="7" t="s">
        <v>187</v>
      </c>
      <c r="E89" s="7" t="s">
        <v>161</v>
      </c>
    </row>
    <row r="90" spans="1:5" x14ac:dyDescent="0.25">
      <c r="A90" s="7">
        <v>2</v>
      </c>
      <c r="B90" s="7" t="s">
        <v>146</v>
      </c>
      <c r="C90" s="7" t="str">
        <f>CONCATENATE(REPT("     ",AspectsConcerns!A90)," ",AspectsConcerns!B90)</f>
        <v xml:space="preserve">           polymorphism</v>
      </c>
      <c r="D90" s="7" t="s">
        <v>187</v>
      </c>
      <c r="E90" s="7" t="s">
        <v>162</v>
      </c>
    </row>
    <row r="91" spans="1:5" ht="30" x14ac:dyDescent="0.25">
      <c r="A91" s="7">
        <v>2</v>
      </c>
      <c r="B91" s="7" t="s">
        <v>163</v>
      </c>
      <c r="C91" s="7" t="str">
        <f>CONCATENATE(REPT("     ",AspectsConcerns!A91)," ",AspectsConcerns!B91)</f>
        <v xml:space="preserve">           directionality of relationships</v>
      </c>
      <c r="D91" s="7" t="s">
        <v>187</v>
      </c>
      <c r="E91" s="7" t="s">
        <v>147</v>
      </c>
    </row>
    <row r="92" spans="1:5" x14ac:dyDescent="0.25">
      <c r="A92" s="7">
        <v>2</v>
      </c>
      <c r="B92" s="7" t="s">
        <v>40</v>
      </c>
      <c r="C92" s="7" t="str">
        <f>CONCATENATE(REPT("     ",AspectsConcerns!A92)," ",AspectsConcerns!B92)</f>
        <v xml:space="preserve">           quality</v>
      </c>
      <c r="D92" s="7" t="s">
        <v>187</v>
      </c>
      <c r="E92" s="7" t="s">
        <v>164</v>
      </c>
    </row>
    <row r="93" spans="1:5" x14ac:dyDescent="0.25">
      <c r="A93" s="7">
        <v>1</v>
      </c>
      <c r="B93" s="7" t="s">
        <v>126</v>
      </c>
      <c r="C93" s="7" t="str">
        <f>CONCATENATE(REPT("     ",AspectsConcerns!A93)," ",AspectsConcerns!B93)</f>
        <v xml:space="preserve">      velocity</v>
      </c>
      <c r="D93" s="7" t="s">
        <v>187</v>
      </c>
      <c r="E93" s="7" t="s">
        <v>129</v>
      </c>
    </row>
    <row r="94" spans="1:5" ht="12.95" customHeight="1" x14ac:dyDescent="0.25">
      <c r="A94" s="5">
        <v>0</v>
      </c>
      <c r="B94" s="5" t="s">
        <v>9</v>
      </c>
      <c r="C94" s="5" t="str">
        <f>CONCATENATE(REPT("     ",AspectsConcerns!A94)," ",AspectsConcerns!B94)</f>
        <v xml:space="preserve"> Boundaries</v>
      </c>
      <c r="D94" s="5" t="s">
        <v>187</v>
      </c>
      <c r="E94" s="6" t="s">
        <v>121</v>
      </c>
    </row>
    <row r="95" spans="1:5" ht="30" x14ac:dyDescent="0.25">
      <c r="A95" s="7">
        <v>1</v>
      </c>
      <c r="B95" s="7" t="s">
        <v>79</v>
      </c>
      <c r="C95" s="7" t="str">
        <f>CONCATENATE(REPT("     ",AspectsConcerns!A95)," ",AspectsConcerns!B95)</f>
        <v xml:space="preserve">      behavioral</v>
      </c>
      <c r="D95" s="7" t="s">
        <v>187</v>
      </c>
      <c r="E95" s="7" t="s">
        <v>80</v>
      </c>
    </row>
    <row r="96" spans="1:5" ht="30" x14ac:dyDescent="0.25">
      <c r="A96" s="7">
        <v>1</v>
      </c>
      <c r="B96" s="7" t="s">
        <v>81</v>
      </c>
      <c r="C96" s="7" t="str">
        <f>CONCATENATE(REPT("     ",AspectsConcerns!A96)," ",AspectsConcerns!B96)</f>
        <v xml:space="preserve">      networkability</v>
      </c>
      <c r="D96" s="7" t="s">
        <v>187</v>
      </c>
      <c r="E96" s="7" t="s">
        <v>82</v>
      </c>
    </row>
    <row r="97" spans="1:5" x14ac:dyDescent="0.25">
      <c r="A97" s="7">
        <v>1</v>
      </c>
      <c r="B97" s="7" t="s">
        <v>83</v>
      </c>
      <c r="C97" s="7" t="str">
        <f>CONCATENATE(REPT("     ",AspectsConcerns!A97)," ",AspectsConcerns!B97)</f>
        <v xml:space="preserve">      responsibility</v>
      </c>
      <c r="D97" s="7" t="s">
        <v>187</v>
      </c>
      <c r="E97" s="7" t="s">
        <v>84</v>
      </c>
    </row>
    <row r="98" spans="1:5" ht="45" x14ac:dyDescent="0.25">
      <c r="A98" s="5">
        <v>0</v>
      </c>
      <c r="B98" s="5" t="s">
        <v>10</v>
      </c>
      <c r="C98" s="5" t="str">
        <f>CONCATENATE(REPT("     ",AspectsConcerns!A98)," ",AspectsConcerns!B98)</f>
        <v xml:space="preserve"> Composition</v>
      </c>
      <c r="D98" s="5" t="s">
        <v>187</v>
      </c>
      <c r="E98" s="6" t="s">
        <v>122</v>
      </c>
    </row>
    <row r="99" spans="1:5" ht="45" x14ac:dyDescent="0.25">
      <c r="A99" s="7">
        <v>1</v>
      </c>
      <c r="B99" s="7" t="s">
        <v>85</v>
      </c>
      <c r="C99" s="7" t="str">
        <f>CONCATENATE(REPT("     ",AspectsConcerns!A99)," ",AspectsConcerns!B99)</f>
        <v xml:space="preserve">      adaptability</v>
      </c>
      <c r="D99" s="7" t="s">
        <v>187</v>
      </c>
      <c r="E99" s="7" t="s">
        <v>86</v>
      </c>
    </row>
    <row r="100" spans="1:5" ht="30" x14ac:dyDescent="0.25">
      <c r="A100" s="7">
        <v>1</v>
      </c>
      <c r="B100" s="7" t="s">
        <v>87</v>
      </c>
      <c r="C100" s="7" t="str">
        <f>CONCATENATE(REPT("     ",AspectsConcerns!A100)," ",AspectsConcerns!B100)</f>
        <v xml:space="preserve">      complexity</v>
      </c>
      <c r="D100" s="7" t="s">
        <v>187</v>
      </c>
      <c r="E100" s="7" t="s">
        <v>88</v>
      </c>
    </row>
    <row r="101" spans="1:5" ht="30" x14ac:dyDescent="0.25">
      <c r="A101" s="7">
        <v>1</v>
      </c>
      <c r="B101" s="7" t="s">
        <v>89</v>
      </c>
      <c r="C101" s="7" t="str">
        <f>CONCATENATE(REPT("     ",AspectsConcerns!A101)," ",AspectsConcerns!B101)</f>
        <v xml:space="preserve">      constructivity</v>
      </c>
      <c r="D101" s="7" t="s">
        <v>187</v>
      </c>
      <c r="E101" s="7" t="s">
        <v>90</v>
      </c>
    </row>
    <row r="102" spans="1:5" ht="60" x14ac:dyDescent="0.25">
      <c r="A102" s="7">
        <v>1</v>
      </c>
      <c r="B102" s="7" t="s">
        <v>91</v>
      </c>
      <c r="C102" s="7" t="str">
        <f>CONCATENATE(REPT("     ",AspectsConcerns!A102)," ",AspectsConcerns!B102)</f>
        <v xml:space="preserve">      discoverability</v>
      </c>
      <c r="D102" s="7" t="s">
        <v>187</v>
      </c>
      <c r="E102" s="7" t="s">
        <v>92</v>
      </c>
    </row>
    <row r="103" spans="1:5" x14ac:dyDescent="0.25">
      <c r="A103" s="5">
        <v>0</v>
      </c>
      <c r="B103" s="5" t="s">
        <v>11</v>
      </c>
      <c r="C103" s="5" t="str">
        <f>CONCATENATE(REPT("     ",AspectsConcerns!A103)," ",AspectsConcerns!B103)</f>
        <v xml:space="preserve"> Lifecycle</v>
      </c>
      <c r="D103" s="5" t="s">
        <v>187</v>
      </c>
      <c r="E103" s="6" t="s">
        <v>123</v>
      </c>
    </row>
    <row r="104" spans="1:5" x14ac:dyDescent="0.25">
      <c r="A104" s="7">
        <v>1</v>
      </c>
      <c r="B104" s="7" t="s">
        <v>93</v>
      </c>
      <c r="C104" s="7" t="str">
        <f>CONCATENATE(REPT("     ",AspectsConcerns!A104)," ",AspectsConcerns!B104)</f>
        <v xml:space="preserve">      deployability</v>
      </c>
      <c r="D104" s="7" t="s">
        <v>187</v>
      </c>
      <c r="E104" s="7" t="s">
        <v>94</v>
      </c>
    </row>
    <row r="105" spans="1:5" x14ac:dyDescent="0.25">
      <c r="A105" s="7">
        <v>1</v>
      </c>
      <c r="B105" s="7" t="s">
        <v>95</v>
      </c>
      <c r="C105" s="7" t="str">
        <f>CONCATENATE(REPT("     ",AspectsConcerns!A105)," ",AspectsConcerns!B105)</f>
        <v xml:space="preserve">      disposability</v>
      </c>
      <c r="D105" s="7" t="s">
        <v>187</v>
      </c>
      <c r="E105" s="7" t="s">
        <v>96</v>
      </c>
    </row>
    <row r="106" spans="1:5" ht="30" x14ac:dyDescent="0.25">
      <c r="A106" s="7">
        <v>1</v>
      </c>
      <c r="B106" s="7" t="s">
        <v>97</v>
      </c>
      <c r="C106" s="7" t="str">
        <f>CONCATENATE(REPT("     ",AspectsConcerns!A106)," ",AspectsConcerns!B106)</f>
        <v xml:space="preserve">      engineerability</v>
      </c>
      <c r="D106" s="7" t="s">
        <v>187</v>
      </c>
      <c r="E106" s="7" t="s">
        <v>98</v>
      </c>
    </row>
    <row r="107" spans="1:5" x14ac:dyDescent="0.25">
      <c r="A107" s="7">
        <v>1</v>
      </c>
      <c r="B107" s="7" t="s">
        <v>99</v>
      </c>
      <c r="C107" s="7" t="str">
        <f>CONCATENATE(REPT("     ",AspectsConcerns!A107)," ",AspectsConcerns!B107)</f>
        <v xml:space="preserve">      maintainability</v>
      </c>
      <c r="D107" s="7" t="s">
        <v>187</v>
      </c>
      <c r="E107" s="7" t="s">
        <v>100</v>
      </c>
    </row>
    <row r="108" spans="1:5" x14ac:dyDescent="0.25">
      <c r="A108" s="7">
        <v>1</v>
      </c>
      <c r="B108" s="7" t="s">
        <v>101</v>
      </c>
      <c r="C108" s="7" t="str">
        <f>CONCATENATE(REPT("     ",AspectsConcerns!A108)," ",AspectsConcerns!B108)</f>
        <v xml:space="preserve">      operatability</v>
      </c>
      <c r="D108" s="7" t="s">
        <v>187</v>
      </c>
      <c r="E108" s="7" t="s">
        <v>102</v>
      </c>
    </row>
    <row r="109" spans="1:5" x14ac:dyDescent="0.25">
      <c r="A109" s="7">
        <v>1</v>
      </c>
      <c r="B109" s="7" t="s">
        <v>103</v>
      </c>
      <c r="C109" s="7" t="str">
        <f>CONCATENATE(REPT("     ",AspectsConcerns!A109)," ",AspectsConcerns!B109)</f>
        <v xml:space="preserve">      procureability</v>
      </c>
      <c r="D109" s="7" t="s">
        <v>187</v>
      </c>
      <c r="E109" s="7" t="s">
        <v>104</v>
      </c>
    </row>
    <row r="110" spans="1:5" x14ac:dyDescent="0.25">
      <c r="A110" s="7">
        <v>1</v>
      </c>
      <c r="B110" s="7" t="s">
        <v>105</v>
      </c>
      <c r="C110" s="7" t="str">
        <f>CONCATENATE(REPT("     ",AspectsConcerns!A110)," ",AspectsConcerns!B110)</f>
        <v xml:space="preserve">      producibility</v>
      </c>
      <c r="D110" s="7" t="s">
        <v>187</v>
      </c>
      <c r="E110" s="7" t="s">
        <v>106</v>
      </c>
    </row>
  </sheetData>
  <autoFilter ref="A4:E110"/>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AspectsConcerns</vt:lpstr>
      <vt:lpstr>BranchNames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rpasquarelli</dc:creator>
  <cp:lastModifiedBy>Burns, Martin</cp:lastModifiedBy>
  <cp:lastPrinted>2012-09-28T16:14:22Z</cp:lastPrinted>
  <dcterms:created xsi:type="dcterms:W3CDTF">2010-05-28T15:44:05Z</dcterms:created>
  <dcterms:modified xsi:type="dcterms:W3CDTF">2016-04-18T11:45:31Z</dcterms:modified>
</cp:coreProperties>
</file>