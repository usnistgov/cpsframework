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codeName="{F2B83AC3-3A92-4FF1-8D57-CA5CB3A19BB1}"/>
  <workbookPr codeName="ThisWorkbook" autoCompressPictures="0"/>
  <mc:AlternateContent xmlns:mc="http://schemas.openxmlformats.org/markup-compatibility/2006">
    <mc:Choice Requires="x15">
      <x15ac:absPath xmlns:x15ac="http://schemas.microsoft.com/office/spreadsheetml/2010/11/ac" url="C:\Users\mjb1\Documents\Source\github\CPSFramework\cpsframework\sandbox\"/>
    </mc:Choice>
  </mc:AlternateContent>
  <bookViews>
    <workbookView xWindow="0" yWindow="465" windowWidth="28275" windowHeight="15795" tabRatio="736"/>
  </bookViews>
  <sheets>
    <sheet name="Analysis" sheetId="21" r:id="rId1"/>
  </sheets>
  <functionGroups builtInGroupCount="18"/>
  <definedNames>
    <definedName name="_xlnm._FilterDatabase" localSheetId="0" hidden="1">Analysis!$A$4:$E$110</definedName>
    <definedName name="BranchNames">Analysis!$E$5:$E$110</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<sst xmlns="http://schemas.openxmlformats.org/spreadsheetml/2006/main" count="373" uniqueCount="284">
  <si>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</si>
  <si>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</si>
  <si>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</si>
  <si>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</si>
  <si>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</si>
  <si>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</si>
  <si>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</si>
  <si>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</si>
  <si>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</si>
  <si>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</si>
  <si>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</si>
  <si>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</si>
  <si>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</si>
  <si>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</si>
  <si>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</si>
  <si>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</si>
  <si>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</si>
  <si>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</si>
  <si>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</si>
  <si>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</si>
  <si>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</si>
  <si>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</si>
  <si>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</si>
  <si>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</si>
  <si>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</si>
  <si>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</si>
  <si>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</si>
  <si>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</si>
  <si>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</si>
  <si>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</si>
  <si>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</si>
  <si>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</si>
  <si>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</si>
  <si>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</si>
  <si>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</si>
  <si>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</si>
  <si>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</si>
  <si>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</si>
  <si>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</si>
  <si>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</si>
  <si>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</si>
  <si>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</si>
  <si>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</si>
  <si>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</si>
  <si>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</si>
  <si>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</si>
  <si>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</si>
  <si>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</si>
  <si>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</si>
  <si>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</si>
  <si>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</si>
  <si>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</si>
  <si>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</si>
  <si>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</si>
  <si>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</si>
  <si>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</si>
  <si>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</si>
  <si>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</si>
  <si>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</si>
  <si>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</si>
  <si>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</si>
  <si>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</si>
  <si>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</si>
  <si>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</si>
  <si>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</si>
  <si>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</si>
  <si>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</si>
  <si>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</si>
  <si>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</si>
  <si>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</si>
  <si>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</si>
  <si>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</si>
  <si>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</si>
  <si>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</si>
  <si>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</si>
  <si>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</si>
  <si>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</si>
  <si>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</si>
  <si>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</si>
  <si>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</si>
  <si>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</si>
  <si>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</si>
  <si>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</si>
  <si>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</si>
  <si>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</si>
  <si>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</si>
  <si>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</si>
  <si>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</si>
  <si>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</si>
  <si>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</si>
  <si>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</si>
  <si>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</si>
  <si>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</si>
  <si>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</si>
  <si>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</si>
  <si>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</si>
  <si>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</si>
  <si>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</si>
  <si>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</si>
  <si>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</si>
  <si>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</si>
  <si>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</si>
  <si>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</si>
  <si>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</si>
  <si>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</si>
  <si>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</si>
  <si>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</si>
  <si>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</si>
  <si>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</si>
  <si>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</si>
  <si>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</si>
  <si>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</si>
  <si>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</si>
  <si>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</si>
  <si>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</si>
  <si>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</si>
  <si>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</si>
  <si>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</si>
  <si>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</si>
  <si>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</si>
  <si>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</si>
  <si>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</si>
  <si>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</si>
  <si>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</si>
  <si>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</si>
  <si>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</si>
  <si>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</si>
  <si>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</si>
  <si>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</si>
  <si>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</si>
  <si>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</si>
  <si>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</si>
  <si>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</si>
  <si>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</si>
  <si>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</si>
  <si>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</si>
  <si>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</si>
  <si>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</si>
  <si>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</si>
  <si>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</si>
  <si>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</si>
  <si>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</si>
  <si>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</si>
  <si>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</si>
  <si>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</si>
  <si>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</si>
  <si>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</si>
  <si>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</si>
  <si>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</si>
  <si>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</si>
  <si>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</si>
  <si>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</si>
  <si>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</si>
  <si>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</si>
  <si>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</si>
  <si>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</si>
  <si>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</si>
  <si>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</si>
  <si>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</si>
  <si>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</si>
  <si>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</si>
  <si>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</si>
  <si>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</si>
  <si>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</si>
  <si>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</si>
  <si>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</si>
  <si>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</si>
  <si>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</si>
  <si>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</si>
  <si>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</si>
  <si>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</si>
  <si>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</si>
  <si>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</si>
  <si>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</si>
  <si>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</si>
  <si>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</si>
  <si>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</si>
  <si>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</si>
  <si>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</si>
  <si>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</si>
  <si>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</si>
  <si>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</si>
  <si>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</si>
  <si>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</si>
  <si>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</si>
  <si>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</si>
  <si>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</si>
  <si>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</si>
  <si>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</si>
  <si>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</si>
  <si>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</si>
  <si>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</si>
  <si>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</si>
  <si>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</si>
  <si>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</si>
  <si>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</si>
  <si>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</si>
  <si>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</si>
  <si>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</si>
  <si>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</si>
  <si>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</si>
  <si>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</si>
  <si>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</si>
  <si>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</si>
  <si>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</si>
  <si>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</si>
  <si>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</si>
  <si>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</si>
  <si>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</si>
  <si>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</si>
  <si>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</si>
  <si>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</si>
  <si>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</si>
  <si>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</si>
  <si>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</si>
  <si>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</si>
  <si>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</si>
  <si>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</si>
  <si>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</si>
  <si>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</si>
  <si>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</si>
  <si>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</si>
  <si>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</si>
  <si>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</si>
  <si>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</si>
  <si>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</si>
  <si>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</si>
  <si>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</si>
  <si>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</si>
  <si>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</si>
  <si>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</si>
  <si>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</si>
  <si>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</si>
  <si>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Aspect Analysis</t>
  </si>
  <si>
    <t>Smart Thermostat shall be safe. (no unacceptable risk)</t>
  </si>
  <si>
    <t>Smart Thermostat shall be reliable (no unacceptable variation in function)</t>
  </si>
  <si>
    <t>The Smart Thermostat shall be easily useable (displays, user inputs, etc.)</t>
  </si>
  <si>
    <t>Smart Thermostat shall be upgradeable ('accept reasonable enhancements after sale')</t>
  </si>
  <si>
    <t>Smart Thermostat shall have a retail cost not more than $79.</t>
  </si>
  <si>
    <t>Smart Thermostat shall communicate with sensor and HVAC using WiFi</t>
  </si>
  <si>
    <t>Smart Thermostat shall be able to actuate heating, cooling and automatic functions</t>
  </si>
  <si>
    <t>Smart Thermostat shall be able to contol HVAC</t>
  </si>
  <si>
    <t>Smart Thermostat shall be able to maintain room temperature near user set point</t>
  </si>
  <si>
    <t>Smart Thermostat shall be able to measure room temperature</t>
  </si>
  <si>
    <t>Smart Thermostat shall communicate it state (mode, temperature)</t>
  </si>
  <si>
    <t>(need operational targets)</t>
  </si>
  <si>
    <t>Smart Thermostat shall have a reasonable "variation" that doesn't lead to system damage (?)</t>
  </si>
  <si>
    <t>Smart Thermostat shall be aware of room temperature</t>
  </si>
  <si>
    <t>(look at commercial spec and what it says about uncertainty)</t>
  </si>
  <si>
    <t>Smart Thermostat shall have modes required to achieve its function.</t>
  </si>
  <si>
    <t>Smart Thermostat shall be able to be deployed and serviced as needed.</t>
  </si>
  <si>
    <t>Business Case</t>
  </si>
  <si>
    <t>Use Case:Feature Heating</t>
  </si>
  <si>
    <t>CPS: Thermostat</t>
  </si>
  <si>
    <t>Logical:Thermostat Algorithm</t>
  </si>
  <si>
    <t>Interaction_Messaging: Relay Control</t>
  </si>
  <si>
    <t>Physical: Wifi Adaptor</t>
  </si>
  <si>
    <t>Thermostat shall be able to communitate with HVAC System; Thermostat shall be able to communicate with the Sensor</t>
  </si>
  <si>
    <t>Thermostat shall provide desired relay state to HVAC System; Thermostat has to obtain the temperature from the sensor.</t>
  </si>
  <si>
    <t>Relay control message shall have states of relays; the temperature sensor message shall have a temperature;</t>
  </si>
  <si>
    <t>Thermostat shall be able to communicate relay state message to HVAC system; Thermostat shall be able to receive a sensor state message;</t>
  </si>
  <si>
    <t>Thermostat messaging shall use WiFi adaptor to HVAC system and from sensor;</t>
  </si>
  <si>
    <t>Information Model: Relays</t>
  </si>
  <si>
    <t>Smart Thermostat shall be secure</t>
  </si>
  <si>
    <t>The heating feature shall be secure</t>
  </si>
  <si>
    <t>The heating feature shall protect privacy</t>
  </si>
  <si>
    <t>The smart thermostat shall protect privacy</t>
  </si>
  <si>
    <t>Smart Thermostat shall protect privacy</t>
  </si>
  <si>
    <t>The smart thermostat algorithm shall protect privacy</t>
  </si>
  <si>
    <t>The smart thermostat shall be secure</t>
  </si>
  <si>
    <t>The smart thermostat algorithm shall be secure</t>
  </si>
  <si>
    <t>The Relay control message shall be secure</t>
  </si>
  <si>
    <t>Thermostat messaging shall use REST</t>
  </si>
  <si>
    <t>Thermostat messaging shall use JSON for payloads</t>
  </si>
  <si>
    <t>Thermostat messaging shall use IP</t>
  </si>
  <si>
    <t>Thermostat messaging shall use TCP</t>
  </si>
  <si>
    <t>Thermostat messaging shall use Ethernet</t>
  </si>
  <si>
    <t>Thermostat messaging shall use WiFi</t>
  </si>
  <si>
    <t>Thermostat messaging shall have no session</t>
  </si>
  <si>
    <t>The smart thermostat shall have tamper-resistant housing.</t>
  </si>
  <si>
    <t>The relay control message shall protect privacy; no PII is contained in message syntax</t>
  </si>
  <si>
    <t>The information for relays shall protect privacy; no PII is contained in information model</t>
  </si>
  <si>
    <t>Messages from the thermostat shall be confidential; Confidentiality shall be provided through encryption of message contents; encryption shall use AES-256</t>
  </si>
  <si>
    <t>Thermostat enclosure shall employ tamper-resistant assembly method;Thermostat enclosure shall assemble with blind fastener that can't be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</si>
</sst>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7">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7">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0" fillId="0" borderId="0" xfId="0" applyAlignment="1">
      <alignment vertical="top" wrapText="1"/>
    </xf>
    <xf numFmtId="0" fontId="3" fillId="3" borderId="1" xfId="3" applyNumberFormat="1" applyAlignment="1">
      <alignment wrapText="1"/>
    </xf>
    <xf numFmtId="0" fontId="6" fillId="0" borderId="0" xfId="0" applyFont="1" applyAlignment="1">
      <alignment horizontal="center" vertical="top" wrapText="1"/>
    </xf>
    <xf numFmtId="0" fontId="2" fillId="6" borderId="1" xfId="5" applyFill="1">
      <alignment vertical="center" wrapText="1"/>
    </xf>
    <xf numFmtId="0" fontId="0" fillId="6" borderId="0" xfId="0" applyFill="1" applyAlignment="1">
      <alignment vertical="top"/>
    </xf>
    <xf numFmtId="0" fontId="2" fillId="0" borderId="1" xfId="5" applyFill="1">
      <alignment vertical="center" wrapText="1"/>
    </xf>
    <xf numFmtId="0" fontId="0" fillId="0" borderId="0" xfId="0" applyFill="1" applyAlignment="1">
      <alignment vertical="top"/>
    </xf>
    <xf numFmtId="0" fontId="0" fillId="0" borderId="0" xfId="0" applyAlignment="1">
      <alignment wrapText="1"/>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10"/>
  <sheetViews>
    <sheetView tabSelected="1" topLeftCell="F1" zoomScaleNormal="100" zoomScalePageLayoutView="85" workbookViewId="0">
      <pane ySplit="4" topLeftCell="A5" activePane="bottomLeft" state="frozen"/>
      <selection activeCell="G29" sqref="G29"/>
      <selection pane="bottomLeft" activeCell="L55" sqref="L55"/>
    </sheetView>
  </sheetViews>
  <sheetFormatPr defaultColWidth="8.85546875" defaultRowHeight="15" x14ac:dyDescent="0.25"/>
  <cols>
    <col min="1" max="2" width="15.28515625" style="3" hidden="1" customWidth="1"/>
    <col min="3" max="3" width="40.42578125" style="3" customWidth="1"/>
    <col min="4" max="4" width="40.42578125" style="3" hidden="1" customWidth="1"/>
    <col min="5" max="5" width="105.85546875" style="3" hidden="1" customWidth="1"/>
    <col min="6" max="12" width="46" style="9" customWidth="1"/>
    <col min="13" max="16384" width="8.85546875" style="3"/>
  </cols>
  <sheetData>
    <row r="1" spans="1:12" ht="33.75" x14ac:dyDescent="0.25">
      <c r="A1" s="8">
        <f ca="1">NOW()</f>
        <v>42971.70109722222</v>
      </c>
      <c r="E1" s="4" t="s">
        <v>124</v>
      </c>
    </row>
    <row r="3" spans="1:12" x14ac:dyDescent="0.25">
      <c r="F3" s="10" t="s">
        <v>233</v>
      </c>
      <c r="G3" s="10"/>
      <c r="H3" s="10"/>
      <c r="I3" s="10"/>
      <c r="J3" s="10"/>
      <c r="K3" s="10"/>
      <c r="L3" s="10"/>
    </row>
    <row r="4" spans="1:12" s="2" customFormat="1" ht="46.5" x14ac:dyDescent="0.25">
      <c r="A4" s="1" t="s">
        <v>0</v>
      </c>
      <c r="B4" s="1" t="s">
        <v>165</v>
      </c>
      <c r="C4" s="1" t="s">
        <v>225</v>
      </c>
      <c r="D4" s="1" t="s">
        <v>186</v>
      </c>
      <c r="E4" s="1" t="s">
        <v>1</v>
      </c>
      <c r="F4" s="11" t="s">
        <v>251</v>
      </c>
      <c r="G4" s="11" t="s">
        <v>252</v>
      </c>
      <c r="H4" s="11" t="s">
        <v>253</v>
      </c>
      <c r="I4" s="11" t="s">
        <v>254</v>
      </c>
      <c r="J4" s="11" t="s">
        <v>255</v>
      </c>
      <c r="K4" s="11" t="s">
        <v>262</v>
      </c>
      <c r="L4" s="11" t="s">
        <v>256</v>
      </c>
    </row>
    <row r="5" spans="1:12" x14ac:dyDescent="0.25">
      <c r="A5" s="5">
        <v>0</v>
      </c>
      <c r="B5" s="5" t="s">
        <v>3</v>
      </c>
      <c r="C5" s="5" t="str">
        <f>CONCATENATE(REPT("     ",Analysis!A5)," ",Analysis!B5)</f>
        <v xml:space="preserve"> Functional</v>
      </c>
      <c r="D5" s="5" t="s">
        <v>187</v>
      </c>
      <c r="E5" s="6" t="s">
        <v>115</v>
      </c>
      <c r="F5" s="16"/>
      <c r="G5" s="16"/>
      <c r="H5" s="16"/>
      <c r="I5" s="16"/>
      <c r="J5" s="16"/>
      <c r="K5" s="16"/>
      <c r="L5" s="16"/>
    </row>
    <row r="6" spans="1:12" ht="30" x14ac:dyDescent="0.25">
      <c r="A6" s="7">
        <v>1</v>
      </c>
      <c r="B6" s="7" t="s">
        <v>12</v>
      </c>
      <c r="C6" s="7" t="str">
        <f>CONCATENATE(REPT("     ",Analysis!A6)," ",Analysis!B6)</f>
        <v xml:space="preserve">      actuation</v>
      </c>
      <c r="D6" s="7" t="s">
        <v>187</v>
      </c>
      <c r="E6" s="7" t="s">
        <v>13</v>
      </c>
      <c r="F6" s="16" t="s">
        <v>240</v>
      </c>
      <c r="G6" s="16"/>
      <c r="H6" s="16"/>
      <c r="I6" s="16"/>
      <c r="J6" s="16"/>
      <c r="K6" s="16"/>
      <c r="L6" s="16"/>
    </row>
    <row r="7" spans="1:12" ht="45" x14ac:dyDescent="0.25">
      <c r="A7" s="7">
        <v>1</v>
      </c>
      <c r="B7" s="7" t="s">
        <v>14</v>
      </c>
      <c r="C7" s="7" t="str">
        <f>CONCATENATE(REPT("     ",Analysis!A7)," ",Analysis!B7)</f>
        <v xml:space="preserve">      communication</v>
      </c>
      <c r="D7" s="7" t="s">
        <v>187</v>
      </c>
      <c r="E7" s="7" t="s">
        <v>15</v>
      </c>
      <c r="F7" s="16" t="s">
        <v>239</v>
      </c>
      <c r="G7" s="16" t="s">
        <v>239</v>
      </c>
      <c r="H7" s="16" t="s">
        <v>257</v>
      </c>
      <c r="I7" s="16" t="s">
        <v>258</v>
      </c>
      <c r="J7" s="16" t="s">
        <v>260</v>
      </c>
      <c r="K7" s="16" t="s">
        <v>259</v>
      </c>
      <c r="L7" s="16" t="s">
        <v>261</v>
      </c>
    </row>
    <row r="8" spans="1:12" ht="30" x14ac:dyDescent="0.25">
      <c r="A8" s="7">
        <v>2</v>
      </c>
      <c r="B8" s="7" t="s">
        <v>166</v>
      </c>
      <c r="C8" s="7" t="str">
        <f>CONCATENATE(REPT("     ",Analysis!A8)," ",Analysis!B8)</f>
        <v xml:space="preserve">           Syntactic Interoperability</v>
      </c>
      <c r="D8" s="7" t="s">
        <v>167</v>
      </c>
      <c r="E8" s="7" t="s">
        <v>202</v>
      </c>
      <c r="F8" s="16"/>
      <c r="G8" s="16"/>
      <c r="H8" s="16"/>
      <c r="I8" s="16"/>
      <c r="J8" s="16"/>
      <c r="K8" s="16"/>
      <c r="L8" s="16"/>
    </row>
    <row r="9" spans="1:12" x14ac:dyDescent="0.25">
      <c r="A9" s="7">
        <v>3</v>
      </c>
      <c r="B9" s="7" t="s">
        <v>168</v>
      </c>
      <c r="C9" s="7" t="str">
        <f>CONCATENATE(REPT("     ",Analysis!A9)," ",Analysis!B9)</f>
        <v xml:space="preserve">                OSI-Application</v>
      </c>
      <c r="D9" s="7" t="s">
        <v>169</v>
      </c>
      <c r="E9" s="7" t="s">
        <v>203</v>
      </c>
      <c r="F9" s="16"/>
      <c r="G9" s="16"/>
      <c r="H9" s="16"/>
      <c r="I9" s="16"/>
      <c r="J9" s="16" t="s">
        <v>272</v>
      </c>
      <c r="K9" s="16"/>
      <c r="L9" s="16"/>
    </row>
    <row r="10" spans="1:12" ht="30" x14ac:dyDescent="0.25">
      <c r="A10" s="7">
        <v>3</v>
      </c>
      <c r="B10" s="7" t="s">
        <v>170</v>
      </c>
      <c r="C10" s="7" t="str">
        <f>CONCATENATE(REPT("     ",Analysis!A10)," ",Analysis!B10)</f>
        <v xml:space="preserve">                OSI-Presentation</v>
      </c>
      <c r="D10" s="7" t="s">
        <v>171</v>
      </c>
      <c r="E10" s="7" t="s">
        <v>204</v>
      </c>
      <c r="F10" s="16"/>
      <c r="G10" s="16"/>
      <c r="H10" s="16"/>
      <c r="I10" s="16"/>
      <c r="J10" s="16" t="s">
        <v>273</v>
      </c>
      <c r="K10" s="16"/>
      <c r="L10" s="16"/>
    </row>
    <row r="11" spans="1:12" ht="30" x14ac:dyDescent="0.25">
      <c r="A11" s="7">
        <v>2</v>
      </c>
      <c r="B11" s="7" t="s">
        <v>172</v>
      </c>
      <c r="C11" s="7" t="str">
        <f>CONCATENATE(REPT("     ",Analysis!A11)," ",Analysis!B11)</f>
        <v xml:space="preserve">           Network Interoperability</v>
      </c>
      <c r="D11" s="7" t="s">
        <v>173</v>
      </c>
      <c r="E11" s="7" t="s">
        <v>205</v>
      </c>
      <c r="F11" s="16"/>
      <c r="G11" s="16"/>
      <c r="H11" s="16"/>
      <c r="I11" s="16"/>
      <c r="J11" s="16"/>
      <c r="K11" s="16"/>
      <c r="L11" s="16"/>
    </row>
    <row r="12" spans="1:12" x14ac:dyDescent="0.25">
      <c r="A12" s="7">
        <v>3</v>
      </c>
      <c r="B12" s="7" t="s">
        <v>174</v>
      </c>
      <c r="C12" s="7" t="str">
        <f>CONCATENATE(REPT("     ",Analysis!A12)," ",Analysis!B12)</f>
        <v xml:space="preserve">                OSI-Session</v>
      </c>
      <c r="D12" s="7" t="s">
        <v>175</v>
      </c>
      <c r="E12" s="7" t="s">
        <v>226</v>
      </c>
      <c r="F12" s="16"/>
      <c r="G12" s="16"/>
      <c r="H12" s="16"/>
      <c r="I12" s="16"/>
      <c r="J12" s="16" t="s">
        <v>278</v>
      </c>
      <c r="K12" s="16"/>
      <c r="L12" s="16"/>
    </row>
    <row r="13" spans="1:12" x14ac:dyDescent="0.25">
      <c r="A13" s="7">
        <v>3</v>
      </c>
      <c r="B13" s="7" t="s">
        <v>176</v>
      </c>
      <c r="C13" s="7" t="str">
        <f>CONCATENATE(REPT("     ",Analysis!A13)," ",Analysis!B13)</f>
        <v xml:space="preserve">                OSI-Transport</v>
      </c>
      <c r="D13" s="7" t="s">
        <v>177</v>
      </c>
      <c r="E13" s="7" t="s">
        <v>206</v>
      </c>
      <c r="F13" s="16"/>
      <c r="G13" s="16"/>
      <c r="H13" s="16"/>
      <c r="I13" s="16"/>
      <c r="J13" s="16" t="s">
        <v>275</v>
      </c>
      <c r="K13" s="16"/>
      <c r="L13" s="16"/>
    </row>
    <row r="14" spans="1:12" x14ac:dyDescent="0.25">
      <c r="A14" s="7">
        <v>3</v>
      </c>
      <c r="B14" s="7" t="s">
        <v>178</v>
      </c>
      <c r="C14" s="7" t="str">
        <f>CONCATENATE(REPT("     ",Analysis!A14)," ",Analysis!B14)</f>
        <v xml:space="preserve">                OSI-Network</v>
      </c>
      <c r="D14" s="7" t="s">
        <v>179</v>
      </c>
      <c r="E14" s="7" t="s">
        <v>207</v>
      </c>
      <c r="F14" s="16"/>
      <c r="G14" s="16"/>
      <c r="H14" s="16"/>
      <c r="I14" s="16"/>
      <c r="J14" s="16" t="s">
        <v>274</v>
      </c>
      <c r="K14" s="16"/>
      <c r="L14" s="16"/>
    </row>
    <row r="15" spans="1:12" ht="30" x14ac:dyDescent="0.25">
      <c r="A15" s="7">
        <v>2</v>
      </c>
      <c r="B15" s="7" t="s">
        <v>180</v>
      </c>
      <c r="C15" s="7" t="str">
        <f>CONCATENATE(REPT("     ",Analysis!A15)," ",Analysis!B15)</f>
        <v xml:space="preserve">           Basic Connectivity</v>
      </c>
      <c r="D15" s="7" t="s">
        <v>181</v>
      </c>
      <c r="E15" s="7" t="s">
        <v>208</v>
      </c>
      <c r="F15" s="16"/>
      <c r="G15" s="16"/>
      <c r="H15" s="16"/>
      <c r="I15" s="16"/>
      <c r="J15" s="16"/>
      <c r="K15" s="16"/>
      <c r="L15" s="16"/>
    </row>
    <row r="16" spans="1:12" x14ac:dyDescent="0.25">
      <c r="A16" s="7">
        <v>3</v>
      </c>
      <c r="B16" s="7" t="s">
        <v>182</v>
      </c>
      <c r="C16" s="7" t="str">
        <f>CONCATENATE(REPT("     ",Analysis!A16)," ",Analysis!B16)</f>
        <v xml:space="preserve">                OSI-Data Link</v>
      </c>
      <c r="D16" s="7" t="s">
        <v>183</v>
      </c>
      <c r="E16" s="7" t="s">
        <v>209</v>
      </c>
      <c r="F16" s="16"/>
      <c r="G16" s="16"/>
      <c r="H16" s="16"/>
      <c r="I16" s="16"/>
      <c r="J16" s="16" t="s">
        <v>276</v>
      </c>
      <c r="K16" s="16"/>
      <c r="L16" s="16"/>
    </row>
    <row r="17" spans="1:12" x14ac:dyDescent="0.25">
      <c r="A17" s="7">
        <v>3</v>
      </c>
      <c r="B17" s="7" t="s">
        <v>184</v>
      </c>
      <c r="C17" s="7" t="str">
        <f>CONCATENATE(REPT("     ",Analysis!A17)," ",Analysis!B17)</f>
        <v xml:space="preserve">                OSI-Physical</v>
      </c>
      <c r="D17" s="7" t="s">
        <v>185</v>
      </c>
      <c r="E17" s="7" t="s">
        <v>210</v>
      </c>
      <c r="F17" s="16"/>
      <c r="G17" s="16"/>
      <c r="H17" s="16"/>
      <c r="I17" s="16"/>
      <c r="J17" s="16" t="s">
        <v>277</v>
      </c>
      <c r="K17" s="16"/>
      <c r="L17" s="16"/>
    </row>
    <row r="18" spans="1:12" ht="60" hidden="1" x14ac:dyDescent="0.25">
      <c r="A18" s="7">
        <v>1</v>
      </c>
      <c r="B18" s="7" t="s">
        <v>16</v>
      </c>
      <c r="C18" s="7" t="str">
        <f>CONCATENATE(REPT("     ",Analysis!A18)," ",Analysis!B18)</f>
        <v xml:space="preserve">      controllability</v>
      </c>
      <c r="D18" s="7" t="s">
        <v>187</v>
      </c>
      <c r="E18" s="7" t="s">
        <v>17</v>
      </c>
      <c r="F18" s="16" t="s">
        <v>241</v>
      </c>
      <c r="G18" s="16"/>
      <c r="H18" s="16"/>
      <c r="I18" s="16"/>
      <c r="J18" s="16"/>
      <c r="K18" s="16"/>
      <c r="L18" s="16"/>
    </row>
    <row r="19" spans="1:12" ht="30" hidden="1" x14ac:dyDescent="0.25">
      <c r="A19" s="7">
        <v>1</v>
      </c>
      <c r="B19" s="7" t="s">
        <v>18</v>
      </c>
      <c r="C19" s="7" t="str">
        <f>CONCATENATE(REPT("     ",Analysis!A19)," ",Analysis!B19)</f>
        <v xml:space="preserve">      functionality</v>
      </c>
      <c r="D19" s="7" t="s">
        <v>187</v>
      </c>
      <c r="E19" s="7" t="s">
        <v>19</v>
      </c>
      <c r="F19" s="16" t="s">
        <v>242</v>
      </c>
      <c r="G19" s="16"/>
      <c r="H19" s="16"/>
      <c r="I19" s="16"/>
      <c r="J19" s="16"/>
      <c r="K19" s="16"/>
      <c r="L19" s="16"/>
    </row>
    <row r="20" spans="1:12" ht="30" hidden="1" x14ac:dyDescent="0.25">
      <c r="A20" s="7">
        <v>1</v>
      </c>
      <c r="B20" s="7" t="s">
        <v>20</v>
      </c>
      <c r="C20" s="7" t="str">
        <f>CONCATENATE(REPT("     ",Analysis!A20)," ",Analysis!B20)</f>
        <v xml:space="preserve">      measurability</v>
      </c>
      <c r="D20" s="7" t="s">
        <v>187</v>
      </c>
      <c r="E20" s="7" t="s">
        <v>21</v>
      </c>
      <c r="F20" s="16" t="s">
        <v>243</v>
      </c>
      <c r="G20" s="16"/>
      <c r="H20" s="16"/>
      <c r="I20" s="16"/>
      <c r="J20" s="16"/>
      <c r="K20" s="16"/>
      <c r="L20" s="16"/>
    </row>
    <row r="21" spans="1:12" ht="30" hidden="1" x14ac:dyDescent="0.25">
      <c r="A21" s="7">
        <v>1</v>
      </c>
      <c r="B21" s="7" t="s">
        <v>22</v>
      </c>
      <c r="C21" s="7" t="str">
        <f>CONCATENATE(REPT("     ",Analysis!A21)," ",Analysis!B21)</f>
        <v xml:space="preserve">      monitorability</v>
      </c>
      <c r="D21" s="7" t="s">
        <v>187</v>
      </c>
      <c r="E21" s="7" t="s">
        <v>23</v>
      </c>
      <c r="F21" s="16" t="s">
        <v>244</v>
      </c>
      <c r="G21" s="16"/>
      <c r="H21" s="16"/>
      <c r="I21" s="16"/>
      <c r="J21" s="16"/>
      <c r="K21" s="16"/>
      <c r="L21" s="16"/>
    </row>
    <row r="22" spans="1:12" hidden="1" x14ac:dyDescent="0.25">
      <c r="A22" s="7">
        <v>1</v>
      </c>
      <c r="B22" s="7" t="s">
        <v>24</v>
      </c>
      <c r="C22" s="7" t="str">
        <f>CONCATENATE(REPT("     ",Analysis!A22)," ",Analysis!B22)</f>
        <v xml:space="preserve">      performance</v>
      </c>
      <c r="D22" s="7" t="s">
        <v>187</v>
      </c>
      <c r="E22" s="7" t="s">
        <v>25</v>
      </c>
      <c r="F22" s="16" t="s">
        <v>245</v>
      </c>
      <c r="G22" s="16"/>
      <c r="H22" s="16"/>
      <c r="I22" s="16"/>
      <c r="J22" s="16"/>
      <c r="K22" s="16"/>
      <c r="L22" s="16"/>
    </row>
    <row r="23" spans="1:12" hidden="1" x14ac:dyDescent="0.25">
      <c r="A23" s="7">
        <v>1</v>
      </c>
      <c r="B23" s="7" t="s">
        <v>26</v>
      </c>
      <c r="C23" s="7" t="str">
        <f>CONCATENATE(REPT("     ",Analysis!A23)," ",Analysis!B23)</f>
        <v xml:space="preserve">      physical</v>
      </c>
      <c r="D23" s="7" t="s">
        <v>187</v>
      </c>
      <c r="E23" s="7" t="s">
        <v>27</v>
      </c>
      <c r="F23" s="16"/>
      <c r="G23" s="16"/>
      <c r="H23" s="16"/>
      <c r="I23" s="16"/>
      <c r="J23" s="16"/>
      <c r="K23" s="16"/>
      <c r="L23" s="16"/>
    </row>
    <row r="24" spans="1:12" ht="45" hidden="1" x14ac:dyDescent="0.25">
      <c r="A24" s="7">
        <v>1</v>
      </c>
      <c r="B24" s="7" t="s">
        <v>28</v>
      </c>
      <c r="C24" s="7" t="str">
        <f>CONCATENATE(REPT("     ",Analysis!A24)," ",Analysis!B24)</f>
        <v xml:space="preserve">      physical context</v>
      </c>
      <c r="D24" s="7" t="s">
        <v>187</v>
      </c>
      <c r="E24" s="7" t="s">
        <v>29</v>
      </c>
      <c r="F24" s="16" t="s">
        <v>246</v>
      </c>
      <c r="G24" s="16"/>
      <c r="H24" s="16"/>
      <c r="I24" s="16"/>
      <c r="J24" s="16"/>
      <c r="K24" s="16"/>
      <c r="L24" s="16"/>
    </row>
    <row r="25" spans="1:12" ht="30" hidden="1" x14ac:dyDescent="0.25">
      <c r="A25" s="7">
        <v>1</v>
      </c>
      <c r="B25" s="7" t="s">
        <v>30</v>
      </c>
      <c r="C25" s="7" t="str">
        <f>CONCATENATE(REPT("     ",Analysis!A25)," ",Analysis!B25)</f>
        <v xml:space="preserve">      sensing</v>
      </c>
      <c r="D25" s="7" t="s">
        <v>187</v>
      </c>
      <c r="E25" s="7" t="s">
        <v>31</v>
      </c>
      <c r="F25" s="16" t="s">
        <v>247</v>
      </c>
      <c r="G25" s="16"/>
      <c r="H25" s="16"/>
      <c r="I25" s="16"/>
      <c r="J25" s="16"/>
      <c r="K25" s="16"/>
      <c r="L25" s="16"/>
    </row>
    <row r="26" spans="1:12" ht="90" hidden="1" x14ac:dyDescent="0.25">
      <c r="A26" s="7">
        <v>1</v>
      </c>
      <c r="B26" s="7" t="s">
        <v>32</v>
      </c>
      <c r="C26" s="7" t="str">
        <f>CONCATENATE(REPT("     ",Analysis!A26)," ",Analysis!B26)</f>
        <v xml:space="preserve">      uncertainty</v>
      </c>
      <c r="D26" s="7" t="s">
        <v>187</v>
      </c>
      <c r="E26" s="7" t="s">
        <v>33</v>
      </c>
      <c r="F26" s="16" t="s">
        <v>248</v>
      </c>
      <c r="G26" s="16"/>
      <c r="H26" s="16"/>
      <c r="I26" s="16"/>
      <c r="J26" s="16"/>
      <c r="K26" s="16"/>
      <c r="L26" s="16"/>
    </row>
    <row r="27" spans="1:12" ht="30" hidden="1" x14ac:dyDescent="0.25">
      <c r="A27" s="7">
        <v>1</v>
      </c>
      <c r="B27" s="7" t="s">
        <v>188</v>
      </c>
      <c r="C27" s="7" t="str">
        <f>CONCATENATE(REPT("     ",Analysis!A27)," ",Analysis!B27)</f>
        <v xml:space="preserve">      statesAndModes</v>
      </c>
      <c r="D27" s="7" t="s">
        <v>189</v>
      </c>
      <c r="E27" s="7" t="s">
        <v>224</v>
      </c>
      <c r="F27" s="16" t="s">
        <v>249</v>
      </c>
      <c r="G27" s="16"/>
      <c r="H27" s="16"/>
      <c r="I27" s="16"/>
      <c r="J27" s="16"/>
      <c r="K27" s="16"/>
      <c r="L27" s="16"/>
    </row>
    <row r="28" spans="1:12" ht="30" hidden="1" x14ac:dyDescent="0.25">
      <c r="A28" s="7">
        <v>1</v>
      </c>
      <c r="B28" s="7" t="s">
        <v>222</v>
      </c>
      <c r="C28" s="7" t="str">
        <f>CONCATENATE(REPT("     ",Analysis!A28)," ",Analysis!B28)</f>
        <v xml:space="preserve">      manageability</v>
      </c>
      <c r="D28" s="7"/>
      <c r="E28" s="7" t="s">
        <v>223</v>
      </c>
      <c r="F28" s="16" t="s">
        <v>250</v>
      </c>
      <c r="G28" s="16"/>
      <c r="H28" s="16"/>
      <c r="I28" s="16"/>
      <c r="J28" s="16"/>
      <c r="K28" s="16"/>
      <c r="L28" s="16"/>
    </row>
    <row r="29" spans="1:12" ht="44.1" hidden="1" customHeight="1" x14ac:dyDescent="0.25">
      <c r="A29" s="7">
        <v>2</v>
      </c>
      <c r="B29" s="7" t="s">
        <v>194</v>
      </c>
      <c r="C29" s="7" t="str">
        <f>CONCATENATE(REPT("     ",Analysis!A29)," ",Analysis!B29)</f>
        <v xml:space="preserve">           configurationManagement</v>
      </c>
      <c r="D29" s="7" t="s">
        <v>190</v>
      </c>
      <c r="E29" s="7" t="s">
        <v>227</v>
      </c>
      <c r="F29" s="16"/>
      <c r="G29" s="16"/>
      <c r="H29" s="16"/>
      <c r="I29" s="16"/>
      <c r="J29" s="16"/>
      <c r="K29" s="16"/>
      <c r="L29" s="16"/>
    </row>
    <row r="30" spans="1:12" ht="45" hidden="1" x14ac:dyDescent="0.25">
      <c r="A30" s="7">
        <v>2</v>
      </c>
      <c r="B30" s="7" t="s">
        <v>195</v>
      </c>
      <c r="C30" s="7" t="str">
        <f>CONCATENATE(REPT("     ",Analysis!A30)," ",Analysis!B30)</f>
        <v xml:space="preserve">           configurationForLeastFFunctionality</v>
      </c>
      <c r="D30" s="7" t="s">
        <v>191</v>
      </c>
      <c r="E30" s="7" t="s">
        <v>212</v>
      </c>
      <c r="F30" s="16"/>
      <c r="G30" s="16"/>
      <c r="H30" s="16"/>
      <c r="I30" s="16"/>
      <c r="J30" s="16"/>
      <c r="K30" s="16"/>
      <c r="L30" s="16"/>
    </row>
    <row r="31" spans="1:12" ht="30" hidden="1" x14ac:dyDescent="0.25">
      <c r="A31" s="7">
        <v>2</v>
      </c>
      <c r="B31" s="7" t="s">
        <v>192</v>
      </c>
      <c r="C31" s="7" t="str">
        <f>CONCATENATE(REPT("     ",Analysis!A31)," ",Analysis!B31)</f>
        <v xml:space="preserve">           Component Inventory</v>
      </c>
      <c r="D31" s="7" t="s">
        <v>193</v>
      </c>
      <c r="E31" s="7" t="s">
        <v>213</v>
      </c>
      <c r="F31" s="16"/>
      <c r="G31" s="16"/>
      <c r="H31" s="16"/>
      <c r="I31" s="16"/>
      <c r="J31" s="16"/>
      <c r="K31" s="16"/>
      <c r="L31" s="16"/>
    </row>
    <row r="32" spans="1:12" hidden="1" x14ac:dyDescent="0.25">
      <c r="A32" s="5">
        <v>0</v>
      </c>
      <c r="B32" s="5" t="s">
        <v>4</v>
      </c>
      <c r="C32" s="5" t="str">
        <f>CONCATENATE(REPT("     ",Analysis!A32)," ",Analysis!B32)</f>
        <v xml:space="preserve"> Business</v>
      </c>
      <c r="D32" s="5" t="s">
        <v>187</v>
      </c>
      <c r="E32" s="6" t="s">
        <v>116</v>
      </c>
      <c r="F32" s="16"/>
      <c r="G32" s="16"/>
      <c r="H32" s="16"/>
      <c r="I32" s="16"/>
      <c r="J32" s="16"/>
      <c r="K32" s="16"/>
      <c r="L32" s="16"/>
    </row>
    <row r="33" spans="1:12" hidden="1" x14ac:dyDescent="0.25">
      <c r="A33" s="7">
        <v>1</v>
      </c>
      <c r="B33" s="7" t="s">
        <v>34</v>
      </c>
      <c r="C33" s="7" t="str">
        <f>CONCATENATE(REPT("     ",Analysis!A33)," ",Analysis!B33)</f>
        <v xml:space="preserve">      enterprise</v>
      </c>
      <c r="D33" s="7" t="s">
        <v>187</v>
      </c>
      <c r="E33" s="7" t="s">
        <v>35</v>
      </c>
      <c r="F33" s="16"/>
      <c r="G33" s="16"/>
      <c r="H33" s="16"/>
      <c r="I33" s="16"/>
      <c r="J33" s="16"/>
      <c r="K33" s="16"/>
      <c r="L33" s="16"/>
    </row>
    <row r="34" spans="1:12" s="15" customFormat="1" ht="30" hidden="1" x14ac:dyDescent="0.25">
      <c r="A34" s="14">
        <v>1</v>
      </c>
      <c r="B34" s="7" t="s">
        <v>2</v>
      </c>
      <c r="C34" s="14" t="str">
        <f>CONCATENATE(REPT("     ",Analysis!A34)," ",Analysis!B34)</f>
        <v xml:space="preserve">      cost</v>
      </c>
      <c r="D34" s="7" t="s">
        <v>187</v>
      </c>
      <c r="E34" s="14" t="s">
        <v>36</v>
      </c>
      <c r="F34" s="16" t="s">
        <v>238</v>
      </c>
      <c r="G34" s="16"/>
      <c r="H34" s="16"/>
      <c r="I34" s="16"/>
      <c r="J34" s="16"/>
      <c r="K34" s="16"/>
      <c r="L34" s="16"/>
    </row>
    <row r="35" spans="1:12" hidden="1" x14ac:dyDescent="0.25">
      <c r="A35" s="7">
        <v>1</v>
      </c>
      <c r="B35" s="7" t="s">
        <v>37</v>
      </c>
      <c r="C35" s="7" t="str">
        <f>CONCATENATE(REPT("     ",Analysis!A35)," ",Analysis!B35)</f>
        <v xml:space="preserve">      environment</v>
      </c>
      <c r="D35" s="7" t="s">
        <v>187</v>
      </c>
      <c r="E35" s="7" t="s">
        <v>197</v>
      </c>
      <c r="F35" s="16"/>
      <c r="G35" s="16"/>
      <c r="H35" s="16"/>
      <c r="I35" s="16"/>
      <c r="J35" s="16"/>
      <c r="K35" s="16"/>
      <c r="L35" s="16"/>
    </row>
    <row r="36" spans="1:12" hidden="1" x14ac:dyDescent="0.25">
      <c r="A36" s="7">
        <v>1</v>
      </c>
      <c r="B36" s="7" t="s">
        <v>38</v>
      </c>
      <c r="C36" s="7" t="str">
        <f>CONCATENATE(REPT("     ",Analysis!A36)," ",Analysis!B36)</f>
        <v xml:space="preserve">      policy</v>
      </c>
      <c r="D36" s="7" t="s">
        <v>187</v>
      </c>
      <c r="E36" s="7" t="s">
        <v>39</v>
      </c>
      <c r="F36" s="16"/>
      <c r="G36" s="16"/>
      <c r="H36" s="16"/>
      <c r="I36" s="16"/>
      <c r="J36" s="16"/>
      <c r="K36" s="16"/>
      <c r="L36" s="16"/>
    </row>
    <row r="37" spans="1:12" ht="30" hidden="1" x14ac:dyDescent="0.25">
      <c r="A37" s="7">
        <v>1</v>
      </c>
      <c r="B37" s="7" t="s">
        <v>40</v>
      </c>
      <c r="C37" s="7" t="str">
        <f>CONCATENATE(REPT("     ",Analysis!A37)," ",Analysis!B37)</f>
        <v xml:space="preserve">      quality</v>
      </c>
      <c r="D37" s="7" t="s">
        <v>187</v>
      </c>
      <c r="E37" s="7" t="s">
        <v>41</v>
      </c>
      <c r="F37" s="16"/>
      <c r="G37" s="16"/>
      <c r="H37" s="16"/>
      <c r="I37" s="16"/>
      <c r="J37" s="16"/>
      <c r="K37" s="16"/>
      <c r="L37" s="16"/>
    </row>
    <row r="38" spans="1:12" hidden="1" x14ac:dyDescent="0.25">
      <c r="A38" s="7">
        <v>1</v>
      </c>
      <c r="B38" s="7" t="s">
        <v>42</v>
      </c>
      <c r="C38" s="7" t="str">
        <f>CONCATENATE(REPT("     ",Analysis!A38)," ",Analysis!B38)</f>
        <v xml:space="preserve">      regulatory</v>
      </c>
      <c r="D38" s="7" t="s">
        <v>187</v>
      </c>
      <c r="E38" s="7" t="s">
        <v>43</v>
      </c>
      <c r="F38" s="16"/>
      <c r="G38" s="16"/>
      <c r="H38" s="16"/>
      <c r="I38" s="16"/>
      <c r="J38" s="16"/>
      <c r="K38" s="16"/>
      <c r="L38" s="16"/>
    </row>
    <row r="39" spans="1:12" hidden="1" x14ac:dyDescent="0.25">
      <c r="A39" s="7">
        <v>1</v>
      </c>
      <c r="B39" s="7" t="s">
        <v>44</v>
      </c>
      <c r="C39" s="7" t="str">
        <f>CONCATENATE(REPT("     ",Analysis!A39)," ",Analysis!B39)</f>
        <v xml:space="preserve">      time to market</v>
      </c>
      <c r="D39" s="7" t="s">
        <v>187</v>
      </c>
      <c r="E39" s="7" t="s">
        <v>45</v>
      </c>
      <c r="F39" s="16"/>
      <c r="G39" s="16"/>
      <c r="H39" s="16"/>
      <c r="I39" s="16"/>
      <c r="J39" s="16"/>
      <c r="K39" s="16"/>
      <c r="L39" s="16"/>
    </row>
    <row r="40" spans="1:12" ht="45" hidden="1" x14ac:dyDescent="0.25">
      <c r="A40" s="7">
        <v>1</v>
      </c>
      <c r="B40" s="7" t="s">
        <v>46</v>
      </c>
      <c r="C40" s="7" t="str">
        <f>CONCATENATE(REPT("     ",Analysis!A40)," ",Analysis!B40)</f>
        <v xml:space="preserve">      utility</v>
      </c>
      <c r="D40" s="7" t="s">
        <v>187</v>
      </c>
      <c r="E40" s="7" t="s">
        <v>47</v>
      </c>
      <c r="F40" s="16"/>
      <c r="G40" s="16"/>
      <c r="H40" s="16"/>
      <c r="I40" s="16"/>
      <c r="J40" s="16"/>
      <c r="K40" s="16"/>
      <c r="L40" s="16"/>
    </row>
    <row r="41" spans="1:12" hidden="1" x14ac:dyDescent="0.25">
      <c r="A41" s="7">
        <v>1</v>
      </c>
      <c r="B41" s="7" t="s">
        <v>196</v>
      </c>
      <c r="C41" s="7" t="str">
        <f>CONCATENATE(REPT("     ",Analysis!A41)," ",Analysis!B41)</f>
        <v xml:space="preserve">      Planning</v>
      </c>
      <c r="D41" s="7"/>
      <c r="E41" s="7" t="s">
        <v>211</v>
      </c>
      <c r="F41" s="16"/>
      <c r="G41" s="16"/>
      <c r="H41" s="16"/>
      <c r="I41" s="16"/>
      <c r="J41" s="16"/>
      <c r="K41" s="16"/>
      <c r="L41" s="16"/>
    </row>
    <row r="42" spans="1:12" hidden="1" x14ac:dyDescent="0.25">
      <c r="A42" s="5">
        <v>0</v>
      </c>
      <c r="B42" s="5" t="s">
        <v>5</v>
      </c>
      <c r="C42" s="5" t="str">
        <f>CONCATENATE(REPT("     ",Analysis!A42)," ",Analysis!B42)</f>
        <v xml:space="preserve"> Human</v>
      </c>
      <c r="D42" s="5" t="s">
        <v>187</v>
      </c>
      <c r="E42" s="6" t="s">
        <v>117</v>
      </c>
      <c r="F42" s="16"/>
      <c r="G42" s="16"/>
      <c r="H42" s="16"/>
      <c r="I42" s="16"/>
      <c r="J42" s="16"/>
      <c r="K42" s="16"/>
      <c r="L42" s="16"/>
    </row>
    <row r="43" spans="1:12" hidden="1" x14ac:dyDescent="0.25">
      <c r="A43" s="7">
        <v>1</v>
      </c>
      <c r="B43" s="7" t="s">
        <v>48</v>
      </c>
      <c r="C43" s="7" t="str">
        <f>CONCATENATE(REPT("     ",Analysis!A43)," ",Analysis!B43)</f>
        <v xml:space="preserve">      human factors</v>
      </c>
      <c r="D43" s="7" t="s">
        <v>187</v>
      </c>
      <c r="E43" s="7" t="s">
        <v>49</v>
      </c>
      <c r="F43" s="16"/>
      <c r="G43" s="16"/>
      <c r="H43" s="16"/>
      <c r="I43" s="16"/>
      <c r="J43" s="16"/>
      <c r="K43" s="16"/>
      <c r="L43" s="16"/>
    </row>
    <row r="44" spans="1:12" s="13" customFormat="1" ht="60" hidden="1" x14ac:dyDescent="0.25">
      <c r="A44" s="12">
        <v>1</v>
      </c>
      <c r="B44" s="7" t="s">
        <v>50</v>
      </c>
      <c r="C44" s="12" t="str">
        <f>CONCATENATE(REPT("     ",Analysis!A44)," ",Analysis!B44)</f>
        <v xml:space="preserve">      usability</v>
      </c>
      <c r="D44" s="7" t="s">
        <v>187</v>
      </c>
      <c r="E44" s="12" t="s">
        <v>51</v>
      </c>
      <c r="F44" s="16" t="s">
        <v>236</v>
      </c>
      <c r="G44" s="16"/>
      <c r="H44" s="16"/>
      <c r="I44" s="16"/>
      <c r="J44" s="16"/>
      <c r="K44" s="16"/>
      <c r="L44" s="16"/>
    </row>
    <row r="45" spans="1:12" x14ac:dyDescent="0.25">
      <c r="A45" s="5">
        <v>0</v>
      </c>
      <c r="B45" s="5" t="s">
        <v>6</v>
      </c>
      <c r="C45" s="5" t="str">
        <f>CONCATENATE(REPT("     ",Analysis!A45)," ",Analysis!B45)</f>
        <v xml:space="preserve"> Trustworthiness</v>
      </c>
      <c r="D45" s="5" t="s">
        <v>187</v>
      </c>
      <c r="E45" s="6" t="s">
        <v>118</v>
      </c>
      <c r="F45" s="16"/>
      <c r="G45" s="16"/>
      <c r="H45" s="16"/>
      <c r="I45" s="16"/>
      <c r="J45" s="16"/>
      <c r="K45" s="16"/>
      <c r="L45" s="16"/>
    </row>
    <row r="46" spans="1:12" customFormat="1" ht="75" x14ac:dyDescent="0.25">
      <c r="A46">
        <v>1</v>
      </c>
      <c r="B46" t="s">
        <v>52</v>
      </c>
      <c r="C46" s="7" t="str">
        <f>CONCATENATE(REPT("     ",Analysis!A46)," ",Analysis!B46)</f>
        <v xml:space="preserve">      privacy</v>
      </c>
      <c r="D46" s="7" t="s">
        <v>187</v>
      </c>
      <c r="E46" s="7" t="s">
        <v>53</v>
      </c>
      <c r="F46" s="16" t="s">
        <v>267</v>
      </c>
      <c r="G46" s="16" t="s">
        <v>265</v>
      </c>
      <c r="H46" s="16" t="s">
        <v>266</v>
      </c>
      <c r="I46" s="16" t="s">
        <v>268</v>
      </c>
      <c r="J46" s="16" t="s">
        <v>280</v>
      </c>
      <c r="K46" s="16" t="s">
        <v>281</v>
      </c>
      <c r="L46" s="16"/>
    </row>
    <row r="47" spans="1:12" customFormat="1" ht="30" x14ac:dyDescent="0.25">
      <c r="A47">
        <v>1</v>
      </c>
      <c r="B47" t="s">
        <v>54</v>
      </c>
      <c r="C47" s="7" t="str">
        <f>CONCATENATE(REPT("     ",Analysis!A47)," ",Analysis!B47)</f>
        <v xml:space="preserve">      reliability</v>
      </c>
      <c r="D47" s="7" t="s">
        <v>187</v>
      </c>
      <c r="E47" s="7" t="s">
        <v>55</v>
      </c>
      <c r="F47" s="16" t="s">
        <v>235</v>
      </c>
      <c r="G47" s="16"/>
      <c r="H47" s="16"/>
      <c r="I47" s="16"/>
      <c r="J47" s="16"/>
      <c r="K47" s="16"/>
      <c r="L47" s="16"/>
    </row>
    <row r="48" spans="1:12" customFormat="1" ht="30" x14ac:dyDescent="0.25">
      <c r="A48">
        <v>1</v>
      </c>
      <c r="B48" t="s">
        <v>56</v>
      </c>
      <c r="C48" s="7" t="str">
        <f>CONCATENATE(REPT("     ",Analysis!A48)," ",Analysis!B48)</f>
        <v xml:space="preserve">      resilience</v>
      </c>
      <c r="D48" s="7" t="s">
        <v>187</v>
      </c>
      <c r="E48" s="7" t="s">
        <v>57</v>
      </c>
      <c r="F48" s="16"/>
      <c r="G48" s="16"/>
      <c r="H48" s="16"/>
      <c r="I48" s="16"/>
      <c r="J48" s="16"/>
      <c r="K48" s="16"/>
      <c r="L48" s="16"/>
    </row>
    <row r="49" spans="1:12" customFormat="1" ht="30" x14ac:dyDescent="0.25">
      <c r="A49">
        <v>1</v>
      </c>
      <c r="B49" t="s">
        <v>58</v>
      </c>
      <c r="C49" s="7" t="str">
        <f>CONCATENATE(REPT("     ",Analysis!A49)," ",Analysis!B49)</f>
        <v xml:space="preserve">      safety</v>
      </c>
      <c r="D49" s="7" t="s">
        <v>187</v>
      </c>
      <c r="E49" s="7" t="s">
        <v>59</v>
      </c>
      <c r="F49" s="16" t="s">
        <v>234</v>
      </c>
      <c r="G49" s="16"/>
      <c r="H49" s="16"/>
      <c r="I49" s="16"/>
      <c r="J49" s="16"/>
      <c r="K49" s="16"/>
      <c r="L49" s="16"/>
    </row>
    <row r="50" spans="1:12" customFormat="1" ht="90" x14ac:dyDescent="0.25">
      <c r="A50">
        <v>1</v>
      </c>
      <c r="B50" t="s">
        <v>60</v>
      </c>
      <c r="C50" s="7" t="str">
        <f>CONCATENATE(REPT("     ",Analysis!A50)," ",Analysis!B50)</f>
        <v xml:space="preserve">      security</v>
      </c>
      <c r="D50" s="7" t="s">
        <v>187</v>
      </c>
      <c r="E50" s="7" t="s">
        <v>113</v>
      </c>
      <c r="F50" s="16" t="s">
        <v>263</v>
      </c>
      <c r="G50" s="16" t="s">
        <v>264</v>
      </c>
      <c r="H50" s="16" t="s">
        <v>269</v>
      </c>
      <c r="I50" s="16" t="s">
        <v>270</v>
      </c>
      <c r="J50" s="16" t="s">
        <v>271</v>
      </c>
      <c r="K50" s="16"/>
      <c r="L50" s="16"/>
    </row>
    <row r="51" spans="1:12" x14ac:dyDescent="0.25">
      <c r="A51" s="7">
        <v>2</v>
      </c>
      <c r="B51" s="7" t="s">
        <v>108</v>
      </c>
      <c r="C51" s="7" t="str">
        <f>CONCATENATE(REPT("     ",Analysis!A51)," ",Analysis!B51)</f>
        <v xml:space="preserve">           cybersecurity</v>
      </c>
      <c r="D51" s="7" t="s">
        <v>187</v>
      </c>
      <c r="E51" s="7" t="s">
        <v>228</v>
      </c>
      <c r="F51" s="16"/>
      <c r="G51" s="16"/>
      <c r="H51" s="16"/>
      <c r="I51" s="16"/>
      <c r="J51" s="16"/>
      <c r="K51" s="16"/>
      <c r="L51" s="16"/>
    </row>
    <row r="52" spans="1:12" ht="60" x14ac:dyDescent="0.25">
      <c r="A52" s="7">
        <v>3</v>
      </c>
      <c r="B52" s="7" t="s">
        <v>107</v>
      </c>
      <c r="C52" s="7" t="str">
        <f>CONCATENATE(REPT("     ",Analysis!A52)," ",Analysis!B52)</f>
        <v xml:space="preserve">                confidentiality</v>
      </c>
      <c r="D52" s="7" t="s">
        <v>187</v>
      </c>
      <c r="E52" s="7" t="s">
        <v>112</v>
      </c>
      <c r="F52" s="16"/>
      <c r="G52" s="16"/>
      <c r="H52" s="16"/>
      <c r="I52" s="16"/>
      <c r="J52" s="16" t="s">
        <v>282</v>
      </c>
      <c r="K52" s="16"/>
      <c r="L52" s="16"/>
    </row>
    <row r="53" spans="1:12" ht="30" x14ac:dyDescent="0.25">
      <c r="A53" s="7">
        <v>3</v>
      </c>
      <c r="B53" s="7" t="s">
        <v>110</v>
      </c>
      <c r="C53" s="7" t="str">
        <f>CONCATENATE(REPT("     ",Analysis!A53)," ",Analysis!B53)</f>
        <v xml:space="preserve">                integrity</v>
      </c>
      <c r="D53" s="7" t="s">
        <v>187</v>
      </c>
      <c r="E53" s="7" t="s">
        <v>215</v>
      </c>
      <c r="F53" s="16"/>
      <c r="G53" s="16"/>
      <c r="H53" s="16"/>
      <c r="I53" s="16"/>
      <c r="J53" s="16"/>
      <c r="K53" s="16"/>
      <c r="L53" s="16"/>
    </row>
    <row r="54" spans="1:12" x14ac:dyDescent="0.25">
      <c r="A54" s="7">
        <v>3</v>
      </c>
      <c r="B54" s="7" t="s">
        <v>111</v>
      </c>
      <c r="C54" s="7" t="str">
        <f>CONCATENATE(REPT("     ",Analysis!A54)," ",Analysis!B54)</f>
        <v xml:space="preserve">                availability</v>
      </c>
      <c r="D54" s="7" t="s">
        <v>187</v>
      </c>
      <c r="E54" s="7" t="s">
        <v>114</v>
      </c>
      <c r="F54" s="16"/>
      <c r="G54" s="16"/>
      <c r="H54" s="16"/>
      <c r="I54" s="16"/>
      <c r="J54" s="16"/>
      <c r="K54" s="16"/>
      <c r="L54" s="16"/>
    </row>
    <row r="55" spans="1:12" ht="60" x14ac:dyDescent="0.25">
      <c r="A55" s="7">
        <v>2</v>
      </c>
      <c r="B55" s="7" t="s">
        <v>109</v>
      </c>
      <c r="C55" s="7" t="str">
        <f>CONCATENATE(REPT("     ",Analysis!A55)," ",Analysis!B55)</f>
        <v xml:space="preserve">           physicalsecurity</v>
      </c>
      <c r="D55" s="7" t="s">
        <v>187</v>
      </c>
      <c r="E55" s="7" t="s">
        <v>214</v>
      </c>
      <c r="F55" s="16"/>
      <c r="G55" s="16"/>
      <c r="H55" s="16" t="s">
        <v>279</v>
      </c>
      <c r="I55" s="16"/>
      <c r="K55" s="16"/>
      <c r="L55" s="16" t="s">
        <v>283</v>
      </c>
    </row>
    <row r="56" spans="1:12" ht="30" x14ac:dyDescent="0.25">
      <c r="A56" s="5">
        <v>0</v>
      </c>
      <c r="B56" s="5" t="s">
        <v>7</v>
      </c>
      <c r="C56" s="5" t="str">
        <f>CONCATENATE(REPT("     ",Analysis!A56)," ",Analysis!B56)</f>
        <v xml:space="preserve"> Timing</v>
      </c>
      <c r="D56" s="5" t="s">
        <v>187</v>
      </c>
      <c r="E56" s="6" t="s">
        <v>119</v>
      </c>
      <c r="F56" s="16"/>
      <c r="G56" s="16"/>
      <c r="H56" s="16"/>
      <c r="I56" s="16"/>
      <c r="J56" s="16"/>
      <c r="K56" s="16"/>
      <c r="L56" s="16"/>
    </row>
    <row r="57" spans="1:12" x14ac:dyDescent="0.25">
      <c r="A57" s="7">
        <v>1</v>
      </c>
      <c r="B57" s="7" t="s">
        <v>61</v>
      </c>
      <c r="C57" s="7" t="str">
        <f>CONCATENATE(REPT("     ",Analysis!A57)," ",Analysis!B57)</f>
        <v xml:space="preserve">      logical time</v>
      </c>
      <c r="D57" s="7" t="s">
        <v>187</v>
      </c>
      <c r="E57" s="7" t="s">
        <v>62</v>
      </c>
      <c r="F57" s="16"/>
      <c r="G57" s="16"/>
      <c r="H57" s="16"/>
      <c r="I57" s="16"/>
      <c r="J57" s="16"/>
      <c r="K57" s="16"/>
      <c r="L57" s="16"/>
    </row>
    <row r="58" spans="1:12" ht="60" x14ac:dyDescent="0.25">
      <c r="A58" s="7">
        <v>1</v>
      </c>
      <c r="B58" s="7" t="s">
        <v>63</v>
      </c>
      <c r="C58" s="7" t="str">
        <f>CONCATENATE(REPT("     ",Analysis!A58)," ",Analysis!B58)</f>
        <v xml:space="preserve">      managing timing and latency</v>
      </c>
      <c r="D58" s="7" t="s">
        <v>187</v>
      </c>
      <c r="E58" s="7" t="s">
        <v>64</v>
      </c>
      <c r="F58" s="16"/>
      <c r="G58" s="16"/>
      <c r="H58" s="16"/>
      <c r="I58" s="16"/>
      <c r="J58" s="16"/>
      <c r="K58" s="16"/>
      <c r="L58" s="16"/>
    </row>
    <row r="59" spans="1:12" ht="45" x14ac:dyDescent="0.25">
      <c r="A59" s="7">
        <v>1</v>
      </c>
      <c r="B59" s="7" t="s">
        <v>65</v>
      </c>
      <c r="C59" s="7" t="str">
        <f>CONCATENATE(REPT("     ",Analysis!A59)," ",Analysis!B59)</f>
        <v xml:space="preserve">      synchronization</v>
      </c>
      <c r="D59" s="7" t="s">
        <v>187</v>
      </c>
      <c r="E59" s="7" t="s">
        <v>66</v>
      </c>
      <c r="F59" s="16"/>
      <c r="G59" s="16"/>
      <c r="H59" s="16"/>
      <c r="I59" s="16"/>
      <c r="J59" s="16"/>
      <c r="K59" s="16"/>
      <c r="L59" s="16"/>
    </row>
    <row r="60" spans="1:12" ht="30" x14ac:dyDescent="0.25">
      <c r="A60" s="7">
        <v>1</v>
      </c>
      <c r="B60" s="7" t="s">
        <v>67</v>
      </c>
      <c r="C60" s="7" t="str">
        <f>CONCATENATE(REPT("     ",Analysis!A60)," ",Analysis!B60)</f>
        <v xml:space="preserve">      time awareness</v>
      </c>
      <c r="D60" s="7" t="s">
        <v>187</v>
      </c>
      <c r="E60" s="7" t="s">
        <v>68</v>
      </c>
      <c r="F60" s="16"/>
      <c r="G60" s="16"/>
      <c r="H60" s="16"/>
      <c r="I60" s="16"/>
      <c r="J60" s="16"/>
      <c r="K60" s="16"/>
      <c r="L60" s="16"/>
    </row>
    <row r="61" spans="1:12" ht="60" x14ac:dyDescent="0.25">
      <c r="A61" s="7">
        <v>1</v>
      </c>
      <c r="B61" s="7" t="s">
        <v>69</v>
      </c>
      <c r="C61" s="7" t="str">
        <f>CONCATENATE(REPT("     ",Analysis!A61)," ",Analysis!B61)</f>
        <v xml:space="preserve">      time-interval and latency control</v>
      </c>
      <c r="D61" s="7" t="s">
        <v>187</v>
      </c>
      <c r="E61" s="7" t="s">
        <v>70</v>
      </c>
      <c r="F61" s="16"/>
      <c r="G61" s="16"/>
      <c r="H61" s="16"/>
      <c r="I61" s="16"/>
      <c r="J61" s="16"/>
      <c r="K61" s="16"/>
      <c r="L61" s="16"/>
    </row>
    <row r="62" spans="1:12" x14ac:dyDescent="0.25">
      <c r="A62" s="5">
        <v>0</v>
      </c>
      <c r="B62" s="5" t="s">
        <v>8</v>
      </c>
      <c r="C62" s="5" t="str">
        <f>CONCATENATE(REPT("     ",Analysis!A62)," ",Analysis!B62)</f>
        <v xml:space="preserve"> Data</v>
      </c>
      <c r="D62" s="5" t="s">
        <v>187</v>
      </c>
      <c r="E62" s="6" t="s">
        <v>120</v>
      </c>
      <c r="F62" s="16"/>
      <c r="G62" s="16"/>
      <c r="H62" s="16"/>
      <c r="I62" s="16"/>
      <c r="J62" s="16"/>
      <c r="K62" s="16"/>
      <c r="L62" s="16"/>
    </row>
    <row r="63" spans="1:12" x14ac:dyDescent="0.25">
      <c r="A63" s="7">
        <v>1</v>
      </c>
      <c r="B63" s="7" t="s">
        <v>71</v>
      </c>
      <c r="C63" s="7" t="str">
        <f>CONCATENATE(REPT("     ",Analysis!A63)," ",Analysis!B63)</f>
        <v xml:space="preserve">      data semantics</v>
      </c>
      <c r="D63" s="7" t="s">
        <v>187</v>
      </c>
      <c r="E63" s="7" t="s">
        <v>72</v>
      </c>
      <c r="F63" s="16"/>
      <c r="G63" s="16"/>
      <c r="H63" s="16"/>
      <c r="I63" s="16"/>
      <c r="J63" s="16"/>
      <c r="K63" s="16"/>
      <c r="L63" s="16"/>
    </row>
    <row r="64" spans="1:12" x14ac:dyDescent="0.25">
      <c r="A64" s="7">
        <v>2</v>
      </c>
      <c r="B64" s="7" t="s">
        <v>134</v>
      </c>
      <c r="C64" s="7" t="str">
        <f>CONCATENATE(REPT("     ",Analysis!A64)," ",Analysis!B64)</f>
        <v xml:space="preserve">           data models</v>
      </c>
      <c r="D64" s="7" t="s">
        <v>187</v>
      </c>
      <c r="E64" s="7" t="s">
        <v>141</v>
      </c>
      <c r="F64" s="16"/>
      <c r="G64" s="16"/>
      <c r="H64" s="16"/>
      <c r="I64" s="16"/>
      <c r="J64" s="16"/>
      <c r="K64" s="16"/>
      <c r="L64" s="16"/>
    </row>
    <row r="65" spans="1:12" x14ac:dyDescent="0.25">
      <c r="A65" s="7">
        <v>2</v>
      </c>
      <c r="B65" s="7" t="s">
        <v>135</v>
      </c>
      <c r="C65" s="7" t="str">
        <f>CONCATENATE(REPT("     ",Analysis!A65)," ",Analysis!B65)</f>
        <v xml:space="preserve">           granularity</v>
      </c>
      <c r="D65" s="7" t="s">
        <v>187</v>
      </c>
      <c r="E65" s="7" t="s">
        <v>148</v>
      </c>
      <c r="F65" s="16"/>
      <c r="G65" s="16"/>
      <c r="H65" s="16"/>
      <c r="I65" s="16"/>
      <c r="J65" s="16"/>
      <c r="K65" s="16"/>
      <c r="L65" s="16"/>
    </row>
    <row r="66" spans="1:12" x14ac:dyDescent="0.25">
      <c r="A66" s="7">
        <v>2</v>
      </c>
      <c r="B66" s="7" t="s">
        <v>136</v>
      </c>
      <c r="C66" s="7" t="str">
        <f>CONCATENATE(REPT("     ",Analysis!A66)," ",Analysis!B66)</f>
        <v xml:space="preserve">           meaning</v>
      </c>
      <c r="D66" s="7" t="s">
        <v>187</v>
      </c>
      <c r="E66" s="7" t="s">
        <v>149</v>
      </c>
      <c r="F66" s="16"/>
      <c r="G66" s="16"/>
      <c r="H66" s="16"/>
      <c r="I66" s="16"/>
      <c r="J66" s="16"/>
      <c r="K66" s="16"/>
      <c r="L66" s="16"/>
    </row>
    <row r="67" spans="1:12" ht="30" x14ac:dyDescent="0.25">
      <c r="A67" s="7">
        <v>1</v>
      </c>
      <c r="B67" s="7" t="s">
        <v>73</v>
      </c>
      <c r="C67" s="7" t="str">
        <f>CONCATENATE(REPT("     ",Analysis!A67)," ",Analysis!B67)</f>
        <v xml:space="preserve">      identity</v>
      </c>
      <c r="D67" s="7" t="s">
        <v>187</v>
      </c>
      <c r="E67" s="7" t="s">
        <v>74</v>
      </c>
      <c r="F67" s="16"/>
      <c r="G67" s="16"/>
      <c r="H67" s="16"/>
      <c r="I67" s="16"/>
      <c r="J67" s="16"/>
      <c r="K67" s="16"/>
      <c r="L67" s="16"/>
    </row>
    <row r="68" spans="1:12" ht="30" x14ac:dyDescent="0.25">
      <c r="A68" s="7">
        <v>2</v>
      </c>
      <c r="B68" s="7" t="s">
        <v>216</v>
      </c>
      <c r="C68" s="7" t="str">
        <f>CONCATENATE(REPT("     ",Analysis!A68)," ",Analysis!B68)</f>
        <v xml:space="preserve">           resourceIdentification</v>
      </c>
      <c r="D68" s="7" t="s">
        <v>198</v>
      </c>
      <c r="E68" s="7" t="s">
        <v>150</v>
      </c>
      <c r="F68" s="16"/>
      <c r="G68" s="16"/>
      <c r="H68" s="16"/>
      <c r="I68" s="16"/>
      <c r="J68" s="16"/>
      <c r="K68" s="16"/>
      <c r="L68" s="16"/>
    </row>
    <row r="69" spans="1:12" ht="30" x14ac:dyDescent="0.25">
      <c r="A69" s="7">
        <v>3</v>
      </c>
      <c r="B69" s="7" t="s">
        <v>217</v>
      </c>
      <c r="C69" s="7" t="str">
        <f>CONCATENATE(REPT("     ",Analysis!A69)," ",Analysis!B69)</f>
        <v xml:space="preserve">                userIdentification</v>
      </c>
      <c r="D69" s="7" t="s">
        <v>199</v>
      </c>
      <c r="E69" s="7" t="s">
        <v>229</v>
      </c>
      <c r="F69" s="16"/>
      <c r="G69" s="16"/>
      <c r="H69" s="16"/>
      <c r="I69" s="16"/>
      <c r="J69" s="16"/>
      <c r="K69" s="16"/>
      <c r="L69" s="16"/>
    </row>
    <row r="70" spans="1:12" ht="30" x14ac:dyDescent="0.25">
      <c r="A70" s="7">
        <v>3</v>
      </c>
      <c r="B70" s="7" t="s">
        <v>218</v>
      </c>
      <c r="C70" s="7" t="str">
        <f>CONCATENATE(REPT("     ",Analysis!A70)," ",Analysis!B70)</f>
        <v xml:space="preserve">                deviceIdentification</v>
      </c>
      <c r="D70" s="7" t="s">
        <v>200</v>
      </c>
      <c r="E70" s="7" t="s">
        <v>230</v>
      </c>
      <c r="F70" s="16"/>
      <c r="G70" s="16"/>
      <c r="H70" s="16"/>
      <c r="I70" s="16"/>
      <c r="J70" s="16"/>
      <c r="K70" s="16"/>
      <c r="L70" s="16"/>
    </row>
    <row r="71" spans="1:12" ht="30" x14ac:dyDescent="0.25">
      <c r="A71" s="7">
        <v>3</v>
      </c>
      <c r="B71" s="7" t="s">
        <v>219</v>
      </c>
      <c r="C71" s="7" t="str">
        <f>CONCATENATE(REPT("     ",Analysis!A71)," ",Analysis!B71)</f>
        <v xml:space="preserve">                objectIdentification</v>
      </c>
      <c r="D71" s="7" t="s">
        <v>201</v>
      </c>
      <c r="E71" s="7" t="s">
        <v>231</v>
      </c>
      <c r="F71" s="16"/>
      <c r="G71" s="16"/>
      <c r="H71" s="16"/>
      <c r="I71" s="16"/>
      <c r="J71" s="16"/>
      <c r="K71" s="16"/>
      <c r="L71" s="16"/>
    </row>
    <row r="72" spans="1:12" ht="30" x14ac:dyDescent="0.25">
      <c r="A72" s="7">
        <v>3</v>
      </c>
      <c r="B72" s="7" t="s">
        <v>220</v>
      </c>
      <c r="C72" s="7" t="str">
        <f>CONCATENATE(REPT("     ",Analysis!A72)," ",Analysis!B72)</f>
        <v xml:space="preserve">                classIdentification</v>
      </c>
      <c r="D72" s="7"/>
      <c r="E72" s="7" t="s">
        <v>232</v>
      </c>
      <c r="F72" s="16"/>
      <c r="G72" s="16"/>
      <c r="H72" s="16"/>
      <c r="I72" s="16"/>
      <c r="J72" s="16"/>
      <c r="K72" s="16"/>
      <c r="L72" s="16"/>
    </row>
    <row r="73" spans="1:12" x14ac:dyDescent="0.25">
      <c r="A73" s="7">
        <v>2</v>
      </c>
      <c r="B73" s="7" t="s">
        <v>137</v>
      </c>
      <c r="C73" s="7" t="str">
        <f>CONCATENATE(REPT("     ",Analysis!A73)," ",Analysis!B73)</f>
        <v xml:space="preserve">           authentication</v>
      </c>
      <c r="D73" s="7" t="s">
        <v>187</v>
      </c>
      <c r="E73" s="7" t="s">
        <v>151</v>
      </c>
      <c r="F73" s="16"/>
      <c r="G73" s="16"/>
      <c r="H73" s="16"/>
      <c r="I73" s="16"/>
      <c r="J73" s="16"/>
      <c r="K73" s="16"/>
      <c r="L73" s="16"/>
    </row>
    <row r="74" spans="1:12" x14ac:dyDescent="0.25">
      <c r="A74" s="7">
        <v>2</v>
      </c>
      <c r="B74" s="7" t="s">
        <v>138</v>
      </c>
      <c r="C74" s="7" t="str">
        <f>CONCATENATE(REPT("     ",Analysis!A74)," ",Analysis!B74)</f>
        <v xml:space="preserve">           authorization</v>
      </c>
      <c r="D74" s="7" t="s">
        <v>187</v>
      </c>
      <c r="E74" s="7" t="s">
        <v>152</v>
      </c>
      <c r="F74" s="16"/>
      <c r="G74" s="16"/>
      <c r="H74" s="16"/>
      <c r="I74" s="16"/>
      <c r="J74" s="16"/>
      <c r="K74" s="16"/>
      <c r="L74" s="16"/>
    </row>
    <row r="75" spans="1:12" x14ac:dyDescent="0.25">
      <c r="A75" s="7">
        <v>2</v>
      </c>
      <c r="B75" s="7" t="s">
        <v>139</v>
      </c>
      <c r="C75" s="7" t="str">
        <f>CONCATENATE(REPT("     ",Analysis!A75)," ",Analysis!B75)</f>
        <v xml:space="preserve">           verification</v>
      </c>
      <c r="D75" s="7" t="s">
        <v>187</v>
      </c>
      <c r="E75" s="7" t="s">
        <v>153</v>
      </c>
      <c r="F75" s="16"/>
      <c r="G75" s="16"/>
      <c r="H75" s="16"/>
      <c r="I75" s="16"/>
      <c r="J75" s="16"/>
      <c r="K75" s="16"/>
      <c r="L75" s="16"/>
    </row>
    <row r="76" spans="1:12" x14ac:dyDescent="0.25">
      <c r="A76" s="7">
        <v>2</v>
      </c>
      <c r="B76" s="7" t="s">
        <v>110</v>
      </c>
      <c r="C76" s="7" t="str">
        <f>CONCATENATE(REPT("     ",Analysis!A76)," ",Analysis!B76)</f>
        <v xml:space="preserve">           integrity</v>
      </c>
      <c r="D76" s="7" t="s">
        <v>187</v>
      </c>
      <c r="E76" s="7" t="s">
        <v>154</v>
      </c>
      <c r="F76" s="16"/>
      <c r="G76" s="16"/>
      <c r="H76" s="16"/>
      <c r="I76" s="16"/>
      <c r="J76" s="16"/>
      <c r="K76" s="16"/>
      <c r="L76" s="16"/>
    </row>
    <row r="77" spans="1:12" x14ac:dyDescent="0.25">
      <c r="A77" s="7">
        <v>2</v>
      </c>
      <c r="B77" s="7" t="s">
        <v>221</v>
      </c>
      <c r="C77" s="7" t="str">
        <f>CONCATENATE(REPT("     ",Analysis!A77)," ",Analysis!B77)</f>
        <v xml:space="preserve">           configuration</v>
      </c>
      <c r="D77" s="7" t="s">
        <v>187</v>
      </c>
      <c r="E77" s="7" t="s">
        <v>155</v>
      </c>
      <c r="F77" s="16"/>
      <c r="G77" s="16"/>
      <c r="H77" s="16"/>
      <c r="I77" s="16"/>
      <c r="J77" s="16"/>
      <c r="K77" s="16"/>
      <c r="L77" s="16"/>
    </row>
    <row r="78" spans="1:12" x14ac:dyDescent="0.25">
      <c r="A78" s="7">
        <v>2</v>
      </c>
      <c r="B78" s="7" t="s">
        <v>140</v>
      </c>
      <c r="C78" s="7" t="str">
        <f>CONCATENATE(REPT("     ",Analysis!A78)," ",Analysis!B78)</f>
        <v xml:space="preserve">           provenance</v>
      </c>
      <c r="D78" s="7" t="s">
        <v>187</v>
      </c>
      <c r="E78" s="7" t="s">
        <v>156</v>
      </c>
      <c r="F78" s="16"/>
      <c r="G78" s="16"/>
      <c r="H78" s="16"/>
      <c r="I78" s="16"/>
      <c r="J78" s="16"/>
      <c r="K78" s="16"/>
      <c r="L78" s="16"/>
    </row>
    <row r="79" spans="1:12" ht="30" x14ac:dyDescent="0.25">
      <c r="A79" s="7">
        <v>1</v>
      </c>
      <c r="B79" s="7" t="s">
        <v>75</v>
      </c>
      <c r="C79" s="7" t="str">
        <f>CONCATENATE(REPT("     ",Analysis!A79)," ",Analysis!B79)</f>
        <v xml:space="preserve">      operations on data</v>
      </c>
      <c r="D79" s="7" t="s">
        <v>187</v>
      </c>
      <c r="E79" s="7" t="s">
        <v>76</v>
      </c>
      <c r="F79" s="16"/>
      <c r="G79" s="16"/>
      <c r="H79" s="16"/>
      <c r="I79" s="16"/>
      <c r="J79" s="16"/>
      <c r="K79" s="16"/>
      <c r="L79" s="16"/>
    </row>
    <row r="80" spans="1:12" x14ac:dyDescent="0.25">
      <c r="A80" s="7">
        <v>2</v>
      </c>
      <c r="B80" s="7" t="s">
        <v>130</v>
      </c>
      <c r="C80" s="7" t="str">
        <f>CONCATENATE(REPT("     ",Analysis!A80)," ",Analysis!B80)</f>
        <v xml:space="preserve">           analytics</v>
      </c>
      <c r="D80" s="7" t="s">
        <v>187</v>
      </c>
      <c r="E80" s="7" t="s">
        <v>130</v>
      </c>
      <c r="F80" s="16"/>
      <c r="G80" s="16"/>
      <c r="H80" s="16"/>
      <c r="I80" s="16"/>
      <c r="J80" s="16"/>
      <c r="K80" s="16"/>
      <c r="L80" s="16"/>
    </row>
    <row r="81" spans="1:12" x14ac:dyDescent="0.25">
      <c r="A81" s="7">
        <v>2</v>
      </c>
      <c r="B81" s="7" t="s">
        <v>125</v>
      </c>
      <c r="C81" s="7" t="str">
        <f>CONCATENATE(REPT("     ",Analysis!A81)," ",Analysis!B81)</f>
        <v xml:space="preserve">           fusion</v>
      </c>
      <c r="D81" s="7" t="s">
        <v>187</v>
      </c>
      <c r="E81" s="7" t="s">
        <v>127</v>
      </c>
      <c r="F81" s="16"/>
      <c r="G81" s="16"/>
      <c r="H81" s="16"/>
      <c r="I81" s="16"/>
      <c r="J81" s="16"/>
      <c r="K81" s="16"/>
      <c r="L81" s="16"/>
    </row>
    <row r="82" spans="1:12" x14ac:dyDescent="0.25">
      <c r="A82" s="7">
        <v>2</v>
      </c>
      <c r="B82" s="7" t="s">
        <v>131</v>
      </c>
      <c r="C82" s="7" t="str">
        <f>CONCATENATE(REPT("     ",Analysis!A82)," ",Analysis!B82)</f>
        <v xml:space="preserve">           storage</v>
      </c>
      <c r="D82" s="7" t="s">
        <v>187</v>
      </c>
      <c r="E82" s="7" t="s">
        <v>128</v>
      </c>
      <c r="F82" s="16"/>
      <c r="G82" s="16"/>
      <c r="H82" s="16"/>
      <c r="I82" s="16"/>
      <c r="J82" s="16"/>
      <c r="K82" s="16"/>
      <c r="L82" s="16"/>
    </row>
    <row r="83" spans="1:12" ht="30" x14ac:dyDescent="0.25">
      <c r="A83" s="7">
        <v>2</v>
      </c>
      <c r="B83" s="7" t="s">
        <v>132</v>
      </c>
      <c r="C83" s="7" t="str">
        <f>CONCATENATE(REPT("     ",Analysis!A83)," ",Analysis!B83)</f>
        <v xml:space="preserve">           aggregation/disaggregation</v>
      </c>
      <c r="D83" s="7" t="s">
        <v>187</v>
      </c>
      <c r="E83" s="7" t="s">
        <v>158</v>
      </c>
      <c r="F83" s="16"/>
      <c r="G83" s="16"/>
      <c r="H83" s="16"/>
      <c r="I83" s="16"/>
      <c r="J83" s="16"/>
      <c r="K83" s="16"/>
      <c r="L83" s="16"/>
    </row>
    <row r="84" spans="1:12" x14ac:dyDescent="0.25">
      <c r="A84" s="7">
        <v>2</v>
      </c>
      <c r="B84" s="7" t="s">
        <v>133</v>
      </c>
      <c r="C84" s="7" t="str">
        <f>CONCATENATE(REPT("     ",Analysis!A84)," ",Analysis!B84)</f>
        <v xml:space="preserve">           transformation</v>
      </c>
      <c r="D84" s="7" t="s">
        <v>187</v>
      </c>
      <c r="E84" s="7" t="s">
        <v>157</v>
      </c>
      <c r="F84" s="16"/>
      <c r="G84" s="16"/>
      <c r="H84" s="16"/>
      <c r="I84" s="16"/>
      <c r="J84" s="16"/>
      <c r="K84" s="16"/>
      <c r="L84" s="16"/>
    </row>
    <row r="85" spans="1:12" ht="30" x14ac:dyDescent="0.25">
      <c r="A85" s="7">
        <v>1</v>
      </c>
      <c r="B85" s="7" t="s">
        <v>77</v>
      </c>
      <c r="C85" s="7" t="str">
        <f>CONCATENATE(REPT("     ",Analysis!A85)," ",Analysis!B85)</f>
        <v xml:space="preserve">      relationship between data</v>
      </c>
      <c r="D85" s="7" t="s">
        <v>187</v>
      </c>
      <c r="E85" s="7" t="s">
        <v>78</v>
      </c>
      <c r="F85" s="16"/>
      <c r="G85" s="16"/>
      <c r="H85" s="16"/>
      <c r="I85" s="16"/>
      <c r="J85" s="16"/>
      <c r="K85" s="16"/>
      <c r="L85" s="16"/>
    </row>
    <row r="86" spans="1:12" x14ac:dyDescent="0.25">
      <c r="A86" s="7">
        <v>2</v>
      </c>
      <c r="B86" s="7" t="s">
        <v>142</v>
      </c>
      <c r="C86" s="7" t="str">
        <f>CONCATENATE(REPT("     ",Analysis!A86)," ",Analysis!B86)</f>
        <v xml:space="preserve">           time of data</v>
      </c>
      <c r="D86" s="7" t="s">
        <v>187</v>
      </c>
      <c r="E86" s="7" t="s">
        <v>159</v>
      </c>
      <c r="F86" s="16"/>
      <c r="G86" s="16"/>
      <c r="H86" s="16"/>
      <c r="I86" s="16"/>
      <c r="J86" s="16"/>
      <c r="K86" s="16"/>
      <c r="L86" s="16"/>
    </row>
    <row r="87" spans="1:12" ht="45" x14ac:dyDescent="0.25">
      <c r="A87" s="7">
        <v>2</v>
      </c>
      <c r="B87" s="7" t="s">
        <v>143</v>
      </c>
      <c r="C87" s="7" t="str">
        <f>CONCATENATE(REPT("     ",Analysis!A87)," ",Analysis!B87)</f>
        <v xml:space="preserve">           related data (including metadata)</v>
      </c>
      <c r="D87" s="7" t="s">
        <v>187</v>
      </c>
      <c r="E87" s="7" t="s">
        <v>160</v>
      </c>
      <c r="F87" s="16"/>
      <c r="G87" s="16"/>
      <c r="H87" s="16"/>
      <c r="I87" s="16"/>
      <c r="J87" s="16"/>
      <c r="K87" s="16"/>
      <c r="L87" s="16"/>
    </row>
    <row r="88" spans="1:12" x14ac:dyDescent="0.25">
      <c r="A88" s="7">
        <v>2</v>
      </c>
      <c r="B88" s="7" t="s">
        <v>144</v>
      </c>
      <c r="C88" s="7" t="str">
        <f>CONCATENATE(REPT("     ",Analysis!A88)," ",Analysis!B88)</f>
        <v xml:space="preserve">           location of data</v>
      </c>
      <c r="D88" s="7" t="s">
        <v>187</v>
      </c>
      <c r="E88" s="7" t="s">
        <v>144</v>
      </c>
      <c r="F88" s="16"/>
      <c r="G88" s="16"/>
      <c r="H88" s="16"/>
      <c r="I88" s="16"/>
      <c r="J88" s="16"/>
      <c r="K88" s="16"/>
      <c r="L88" s="16"/>
    </row>
    <row r="89" spans="1:12" x14ac:dyDescent="0.25">
      <c r="A89" s="7">
        <v>2</v>
      </c>
      <c r="B89" s="7" t="s">
        <v>145</v>
      </c>
      <c r="C89" s="7" t="str">
        <f>CONCATENATE(REPT("     ",Analysis!A89)," ",Analysis!B89)</f>
        <v xml:space="preserve">           inheritance</v>
      </c>
      <c r="D89" s="7" t="s">
        <v>187</v>
      </c>
      <c r="E89" s="7" t="s">
        <v>161</v>
      </c>
      <c r="F89" s="16"/>
      <c r="G89" s="16"/>
      <c r="H89" s="16"/>
      <c r="I89" s="16"/>
      <c r="J89" s="16"/>
      <c r="K89" s="16"/>
      <c r="L89" s="16"/>
    </row>
    <row r="90" spans="1:12" x14ac:dyDescent="0.25">
      <c r="A90" s="7">
        <v>2</v>
      </c>
      <c r="B90" s="7" t="s">
        <v>146</v>
      </c>
      <c r="C90" s="7" t="str">
        <f>CONCATENATE(REPT("     ",Analysis!A90)," ",Analysis!B90)</f>
        <v xml:space="preserve">           polymorphism</v>
      </c>
      <c r="D90" s="7" t="s">
        <v>187</v>
      </c>
      <c r="E90" s="7" t="s">
        <v>162</v>
      </c>
      <c r="F90" s="16"/>
      <c r="G90" s="16"/>
      <c r="H90" s="16"/>
      <c r="I90" s="16"/>
      <c r="J90" s="16"/>
      <c r="K90" s="16"/>
      <c r="L90" s="16"/>
    </row>
    <row r="91" spans="1:12" ht="30" x14ac:dyDescent="0.25">
      <c r="A91" s="7">
        <v>2</v>
      </c>
      <c r="B91" s="7" t="s">
        <v>163</v>
      </c>
      <c r="C91" s="7" t="str">
        <f>CONCATENATE(REPT("     ",Analysis!A91)," ",Analysis!B91)</f>
        <v xml:space="preserve">           directionality of relationships</v>
      </c>
      <c r="D91" s="7" t="s">
        <v>187</v>
      </c>
      <c r="E91" s="7" t="s">
        <v>147</v>
      </c>
      <c r="F91" s="16"/>
      <c r="G91" s="16"/>
      <c r="H91" s="16"/>
      <c r="I91" s="16"/>
      <c r="J91" s="16"/>
      <c r="K91" s="16"/>
      <c r="L91" s="16"/>
    </row>
    <row r="92" spans="1:12" x14ac:dyDescent="0.25">
      <c r="A92" s="7">
        <v>2</v>
      </c>
      <c r="B92" s="7" t="s">
        <v>40</v>
      </c>
      <c r="C92" s="7" t="str">
        <f>CONCATENATE(REPT("     ",Analysis!A92)," ",Analysis!B92)</f>
        <v xml:space="preserve">           quality</v>
      </c>
      <c r="D92" s="7" t="s">
        <v>187</v>
      </c>
      <c r="E92" s="7" t="s">
        <v>164</v>
      </c>
      <c r="F92" s="16"/>
      <c r="G92" s="16"/>
      <c r="H92" s="16"/>
      <c r="I92" s="16"/>
      <c r="J92" s="16"/>
      <c r="K92" s="16"/>
      <c r="L92" s="16"/>
    </row>
    <row r="93" spans="1:12" x14ac:dyDescent="0.25">
      <c r="A93" s="7">
        <v>1</v>
      </c>
      <c r="B93" s="7" t="s">
        <v>126</v>
      </c>
      <c r="C93" s="7" t="str">
        <f>CONCATENATE(REPT("     ",Analysis!A93)," ",Analysis!B93)</f>
        <v xml:space="preserve">      velocity</v>
      </c>
      <c r="D93" s="7" t="s">
        <v>187</v>
      </c>
      <c r="E93" s="7" t="s">
        <v>129</v>
      </c>
      <c r="F93" s="16"/>
      <c r="G93" s="16"/>
      <c r="H93" s="16"/>
      <c r="I93" s="16"/>
      <c r="J93" s="16"/>
      <c r="K93" s="16"/>
      <c r="L93" s="16"/>
    </row>
    <row r="94" spans="1:12" ht="12.95" customHeight="1" x14ac:dyDescent="0.25">
      <c r="A94" s="5">
        <v>0</v>
      </c>
      <c r="B94" s="5" t="s">
        <v>9</v>
      </c>
      <c r="C94" s="5" t="str">
        <f>CONCATENATE(REPT("     ",Analysis!A94)," ",Analysis!B94)</f>
        <v xml:space="preserve"> Boundaries</v>
      </c>
      <c r="D94" s="5" t="s">
        <v>187</v>
      </c>
      <c r="E94" s="6" t="s">
        <v>121</v>
      </c>
      <c r="F94" s="16"/>
      <c r="G94" s="16"/>
      <c r="H94" s="16"/>
      <c r="I94" s="16"/>
      <c r="J94" s="16"/>
      <c r="K94" s="16"/>
      <c r="L94" s="16"/>
    </row>
    <row r="95" spans="1:12" ht="30" x14ac:dyDescent="0.25">
      <c r="A95" s="7">
        <v>1</v>
      </c>
      <c r="B95" s="7" t="s">
        <v>79</v>
      </c>
      <c r="C95" s="7" t="str">
        <f>CONCATENATE(REPT("     ",Analysis!A95)," ",Analysis!B95)</f>
        <v xml:space="preserve">      behavioral</v>
      </c>
      <c r="D95" s="7" t="s">
        <v>187</v>
      </c>
      <c r="E95" s="7" t="s">
        <v>80</v>
      </c>
      <c r="F95" s="16"/>
      <c r="G95" s="16"/>
      <c r="H95" s="16"/>
      <c r="I95" s="16"/>
      <c r="J95" s="16"/>
      <c r="K95" s="16"/>
      <c r="L95" s="16"/>
    </row>
    <row r="96" spans="1:12" ht="30" x14ac:dyDescent="0.25">
      <c r="A96" s="7">
        <v>1</v>
      </c>
      <c r="B96" s="7" t="s">
        <v>81</v>
      </c>
      <c r="C96" s="7" t="str">
        <f>CONCATENATE(REPT("     ",Analysis!A96)," ",Analysis!B96)</f>
        <v xml:space="preserve">      networkability</v>
      </c>
      <c r="D96" s="7" t="s">
        <v>187</v>
      </c>
      <c r="E96" s="7" t="s">
        <v>82</v>
      </c>
      <c r="F96" s="16"/>
      <c r="G96" s="16"/>
      <c r="H96" s="16"/>
      <c r="I96" s="16"/>
      <c r="J96" s="16"/>
      <c r="K96" s="16"/>
      <c r="L96" s="16"/>
    </row>
    <row r="97" spans="1:12" x14ac:dyDescent="0.25">
      <c r="A97" s="7">
        <v>1</v>
      </c>
      <c r="B97" s="7" t="s">
        <v>83</v>
      </c>
      <c r="C97" s="7" t="str">
        <f>CONCATENATE(REPT("     ",Analysis!A97)," ",Analysis!B97)</f>
        <v xml:space="preserve">      responsibility</v>
      </c>
      <c r="D97" s="7" t="s">
        <v>187</v>
      </c>
      <c r="E97" s="7" t="s">
        <v>84</v>
      </c>
      <c r="F97" s="16"/>
      <c r="G97" s="16"/>
      <c r="H97" s="16"/>
      <c r="I97" s="16"/>
      <c r="J97" s="16"/>
      <c r="K97" s="16"/>
      <c r="L97" s="16"/>
    </row>
    <row r="98" spans="1:12" ht="45" x14ac:dyDescent="0.25">
      <c r="A98" s="5">
        <v>0</v>
      </c>
      <c r="B98" s="5" t="s">
        <v>10</v>
      </c>
      <c r="C98" s="5" t="str">
        <f>CONCATENATE(REPT("     ",Analysis!A98)," ",Analysis!B98)</f>
        <v xml:space="preserve"> Composition</v>
      </c>
      <c r="D98" s="5" t="s">
        <v>187</v>
      </c>
      <c r="E98" s="6" t="s">
        <v>122</v>
      </c>
      <c r="F98" s="16"/>
      <c r="G98" s="16"/>
      <c r="H98" s="16"/>
      <c r="I98" s="16"/>
      <c r="J98" s="16"/>
      <c r="K98" s="16"/>
      <c r="L98" s="16"/>
    </row>
    <row r="99" spans="1:12" s="13" customFormat="1" ht="45" x14ac:dyDescent="0.25">
      <c r="A99" s="12">
        <v>1</v>
      </c>
      <c r="B99" s="7" t="s">
        <v>85</v>
      </c>
      <c r="C99" s="7" t="str">
        <f>CONCATENATE(REPT("     ",Analysis!A99)," ",Analysis!B99)</f>
        <v xml:space="preserve">      adaptability</v>
      </c>
      <c r="D99" s="7" t="s">
        <v>187</v>
      </c>
      <c r="E99" s="7" t="s">
        <v>86</v>
      </c>
      <c r="F99" s="16" t="s">
        <v>237</v>
      </c>
      <c r="G99" s="16"/>
      <c r="H99" s="16"/>
      <c r="I99" s="16"/>
      <c r="J99" s="16"/>
      <c r="K99" s="16"/>
      <c r="L99" s="16"/>
    </row>
    <row r="100" spans="1:12" ht="30" x14ac:dyDescent="0.25">
      <c r="A100" s="7">
        <v>1</v>
      </c>
      <c r="B100" s="7" t="s">
        <v>87</v>
      </c>
      <c r="C100" s="7" t="str">
        <f>CONCATENATE(REPT("     ",Analysis!A100)," ",Analysis!B100)</f>
        <v xml:space="preserve">      complexity</v>
      </c>
      <c r="D100" s="7" t="s">
        <v>187</v>
      </c>
      <c r="E100" s="7" t="s">
        <v>88</v>
      </c>
      <c r="F100" s="16"/>
      <c r="G100" s="16"/>
      <c r="H100" s="16"/>
      <c r="I100" s="16"/>
      <c r="J100" s="16"/>
      <c r="K100" s="16"/>
      <c r="L100" s="16"/>
    </row>
    <row r="101" spans="1:12" ht="30" x14ac:dyDescent="0.25">
      <c r="A101" s="7">
        <v>1</v>
      </c>
      <c r="B101" s="7" t="s">
        <v>89</v>
      </c>
      <c r="C101" s="7" t="str">
        <f>CONCATENATE(REPT("     ",Analysis!A101)," ",Analysis!B101)</f>
        <v xml:space="preserve">      constructivity</v>
      </c>
      <c r="D101" s="7" t="s">
        <v>187</v>
      </c>
      <c r="E101" s="7" t="s">
        <v>90</v>
      </c>
      <c r="F101" s="16"/>
      <c r="G101" s="16"/>
      <c r="H101" s="16"/>
      <c r="I101" s="16"/>
      <c r="J101" s="16"/>
      <c r="K101" s="16"/>
      <c r="L101" s="16"/>
    </row>
    <row r="102" spans="1:12" ht="60" x14ac:dyDescent="0.25">
      <c r="A102" s="7">
        <v>1</v>
      </c>
      <c r="B102" s="7" t="s">
        <v>91</v>
      </c>
      <c r="C102" s="7" t="str">
        <f>CONCATENATE(REPT("     ",Analysis!A102)," ",Analysis!B102)</f>
        <v xml:space="preserve">      discoverability</v>
      </c>
      <c r="D102" s="7" t="s">
        <v>187</v>
      </c>
      <c r="E102" s="7" t="s">
        <v>92</v>
      </c>
      <c r="F102" s="16"/>
      <c r="G102" s="16"/>
      <c r="H102" s="16"/>
      <c r="I102" s="16"/>
      <c r="J102" s="16"/>
      <c r="K102" s="16"/>
      <c r="L102" s="16"/>
    </row>
    <row r="103" spans="1:12" x14ac:dyDescent="0.25">
      <c r="A103" s="5">
        <v>0</v>
      </c>
      <c r="B103" s="5" t="s">
        <v>11</v>
      </c>
      <c r="C103" s="5" t="str">
        <f>CONCATENATE(REPT("     ",Analysis!A103)," ",Analysis!B103)</f>
        <v xml:space="preserve"> Lifecycle</v>
      </c>
      <c r="D103" s="5" t="s">
        <v>187</v>
      </c>
      <c r="E103" s="6" t="s">
        <v>123</v>
      </c>
      <c r="F103" s="16"/>
      <c r="G103" s="16"/>
      <c r="H103" s="16"/>
      <c r="I103" s="16"/>
      <c r="J103" s="16"/>
      <c r="K103" s="16"/>
      <c r="L103" s="16"/>
    </row>
    <row r="104" spans="1:12" x14ac:dyDescent="0.25">
      <c r="A104" s="7">
        <v>1</v>
      </c>
      <c r="B104" s="7" t="s">
        <v>93</v>
      </c>
      <c r="C104" s="7" t="str">
        <f>CONCATENATE(REPT("     ",Analysis!A104)," ",Analysis!B104)</f>
        <v xml:space="preserve">      deployability</v>
      </c>
      <c r="D104" s="7" t="s">
        <v>187</v>
      </c>
      <c r="E104" s="7" t="s">
        <v>94</v>
      </c>
      <c r="F104" s="16"/>
      <c r="G104" s="16"/>
      <c r="H104" s="16"/>
      <c r="I104" s="16"/>
      <c r="J104" s="16"/>
      <c r="K104" s="16"/>
      <c r="L104" s="16"/>
    </row>
    <row r="105" spans="1:12" x14ac:dyDescent="0.25">
      <c r="A105" s="7">
        <v>1</v>
      </c>
      <c r="B105" s="7" t="s">
        <v>95</v>
      </c>
      <c r="C105" s="7" t="str">
        <f>CONCATENATE(REPT("     ",Analysis!A105)," ",Analysis!B105)</f>
        <v xml:space="preserve">      disposability</v>
      </c>
      <c r="D105" s="7" t="s">
        <v>187</v>
      </c>
      <c r="E105" s="7" t="s">
        <v>96</v>
      </c>
      <c r="F105" s="16"/>
      <c r="G105" s="16"/>
      <c r="H105" s="16"/>
      <c r="I105" s="16"/>
      <c r="J105" s="16"/>
      <c r="K105" s="16"/>
      <c r="L105" s="16"/>
    </row>
    <row r="106" spans="1:12" ht="30" x14ac:dyDescent="0.25">
      <c r="A106" s="7">
        <v>1</v>
      </c>
      <c r="B106" s="7" t="s">
        <v>97</v>
      </c>
      <c r="C106" s="7" t="str">
        <f>CONCATENATE(REPT("     ",Analysis!A106)," ",Analysis!B106)</f>
        <v xml:space="preserve">      engineerability</v>
      </c>
      <c r="D106" s="7" t="s">
        <v>187</v>
      </c>
      <c r="E106" s="7" t="s">
        <v>98</v>
      </c>
      <c r="F106" s="16"/>
      <c r="G106" s="16"/>
      <c r="H106" s="16"/>
      <c r="I106" s="16"/>
      <c r="J106" s="16"/>
      <c r="K106" s="16"/>
      <c r="L106" s="16"/>
    </row>
    <row r="107" spans="1:12" x14ac:dyDescent="0.25">
      <c r="A107" s="7">
        <v>1</v>
      </c>
      <c r="B107" s="7" t="s">
        <v>99</v>
      </c>
      <c r="C107" s="7" t="str">
        <f>CONCATENATE(REPT("     ",Analysis!A107)," ",Analysis!B107)</f>
        <v xml:space="preserve">      maintainability</v>
      </c>
      <c r="D107" s="7" t="s">
        <v>187</v>
      </c>
      <c r="E107" s="7" t="s">
        <v>100</v>
      </c>
      <c r="F107" s="16"/>
      <c r="G107" s="16"/>
      <c r="H107" s="16"/>
      <c r="I107" s="16"/>
      <c r="J107" s="16"/>
      <c r="K107" s="16"/>
      <c r="L107" s="16"/>
    </row>
    <row r="108" spans="1:12" x14ac:dyDescent="0.25">
      <c r="A108" s="7">
        <v>1</v>
      </c>
      <c r="B108" s="7" t="s">
        <v>101</v>
      </c>
      <c r="C108" s="7" t="str">
        <f>CONCATENATE(REPT("     ",Analysis!A108)," ",Analysis!B108)</f>
        <v xml:space="preserve">      operatability</v>
      </c>
      <c r="D108" s="7" t="s">
        <v>187</v>
      </c>
      <c r="E108" s="7" t="s">
        <v>102</v>
      </c>
      <c r="F108" s="16"/>
      <c r="G108" s="16"/>
      <c r="H108" s="16"/>
      <c r="I108" s="16"/>
      <c r="J108" s="16"/>
      <c r="K108" s="16"/>
      <c r="L108" s="16"/>
    </row>
    <row r="109" spans="1:12" x14ac:dyDescent="0.25">
      <c r="A109" s="7">
        <v>1</v>
      </c>
      <c r="B109" s="7" t="s">
        <v>103</v>
      </c>
      <c r="C109" s="7" t="str">
        <f>CONCATENATE(REPT("     ",Analysis!A109)," ",Analysis!B109)</f>
        <v xml:space="preserve">      procureability</v>
      </c>
      <c r="D109" s="7" t="s">
        <v>187</v>
      </c>
      <c r="E109" s="7" t="s">
        <v>104</v>
      </c>
      <c r="F109" s="16"/>
      <c r="G109" s="16"/>
      <c r="H109" s="16"/>
      <c r="I109" s="16"/>
      <c r="J109" s="16"/>
      <c r="K109" s="16"/>
      <c r="L109" s="16"/>
    </row>
    <row r="110" spans="1:12" x14ac:dyDescent="0.25">
      <c r="A110" s="7">
        <v>1</v>
      </c>
      <c r="B110" s="7" t="s">
        <v>105</v>
      </c>
      <c r="C110" s="7" t="str">
        <f>CONCATENATE(REPT("     ",Analysis!A110)," ",Analysis!B110)</f>
        <v xml:space="preserve">      producibility</v>
      </c>
      <c r="D110" s="7" t="s">
        <v>187</v>
      </c>
      <c r="E110" s="7" t="s">
        <v>106</v>
      </c>
      <c r="F110" s="16"/>
      <c r="G110" s="16"/>
      <c r="H110" s="16"/>
      <c r="I110" s="16"/>
      <c r="J110" s="16"/>
      <c r="K110" s="16"/>
      <c r="L110" s="16"/>
    </row>
  </sheetData>
  <autoFilter ref="A4:E110"/>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Analysis</vt:lpstr>
      <vt:lpstr>BranchNames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2017-08-24T20:49:49Z</dcterms:modified>
</cp:coreProperties>
</file>