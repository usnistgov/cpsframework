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7224" codeName="{7A2D7E96-6E34-419A-AE5F-296B3A7E7977}"/>
  <workbookPr codeName="ThisWorkbook" autoCompressPictures="0"/>
  <mc:AlternateContent xmlns:mc="http://schemas.openxmlformats.org/markup-compatibility/2006">
    <mc:Choice Requires="x15">
      <x15ac:absPath xmlns:x15ac="http://schemas.microsoft.com/office/spreadsheetml/2010/11/ac" url="/Users/erg1/Documents/cpsframework/"/>
    </mc:Choice>
  </mc:AlternateContent>
  <bookViews>
    <workbookView xWindow="0" yWindow="460" windowWidth="25600" windowHeight="13740" tabRatio="736"/>
  </bookViews>
  <sheets>
    <sheet name="AspectsConcerns" sheetId="21" r:id="rId1"/>
  </sheets>
  <definedNames>
    <definedName name="_xlnm._FilterDatabase" localSheetId="0" hidden="1">AspectsConcerns!$A$4:$E$110</definedName>
    <definedName name="BranchNames">AspectsConcerns!$E$5:$E$110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<sst xmlns="http://schemas.openxmlformats.org/spreadsheetml/2006/main" count="321" uniqueCount="233">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</sst>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6">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9">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E110"/>
  <sheetViews>
    <sheetView tabSelected="1" zoomScale="85" zoomScaleNormal="85" zoomScalePageLayoutView="85" workbookViewId="0">
      <pane ySplit="4" topLeftCell="A91" activePane="bottomLeft" state="frozen"/>
      <selection pane="bottomLeft" activeCell="E110" sqref="E110"/>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16384" width="8.83203125" style="3"/>
  </cols>
  <sheetData>
    <row r="1" spans="1:5" ht="34" x14ac:dyDescent="0.2">
      <c r="A1" s="8">
        <f ca="1">NOW()</f>
        <v>42552.58657511574</v>
      </c>
      <c r="E1" s="4" t="s">
        <v>124</v>
      </c>
    </row>
    <row r="4" spans="1:5" s="2" customFormat="1" ht="24" x14ac:dyDescent="0.2">
      <c r="A4" s="1" t="s">
        <v>0</v>
      </c>
      <c r="B4" s="1" t="s">
        <v>165</v>
      </c>
      <c r="C4" s="1" t="s">
        <v>225</v>
      </c>
      <c r="D4" s="1" t="s">
        <v>186</v>
      </c>
      <c r="E4" s="1" t="s">
        <v>1</v>
      </c>
    </row>
    <row r="5" spans="1:5" x14ac:dyDescent="0.2">
      <c r="A5" s="5">
        <v>0</v>
      </c>
      <c r="B5" s="5" t="s">
        <v>3</v>
      </c>
      <c r="C5" s="5" t="str">
        <f>CONCATENATE(REPT("     ",AspectsConcerns!A5)," ",AspectsConcerns!B5)</f>
        <v xml:space="preserve"> Functional</v>
      </c>
      <c r="D5" s="5" t="s">
        <v>187</v>
      </c>
      <c r="E5" s="6" t="s">
        <v>115</v>
      </c>
    </row>
    <row r="6" spans="1:5" x14ac:dyDescent="0.2">
      <c r="A6" s="7">
        <v>1</v>
      </c>
      <c r="B6" s="7" t="s">
        <v>12</v>
      </c>
      <c r="C6" s="7" t="str">
        <f>CONCATENATE(REPT("     ",AspectsConcerns!A6)," ",AspectsConcerns!B6)</f>
        <v xml:space="preserve">      actuation</v>
      </c>
      <c r="D6" s="7" t="s">
        <v>187</v>
      </c>
      <c r="E6" s="7" t="s">
        <v>13</v>
      </c>
    </row>
    <row r="7" spans="1:5" x14ac:dyDescent="0.2">
      <c r="A7" s="7">
        <v>1</v>
      </c>
      <c r="B7" s="7" t="s">
        <v>14</v>
      </c>
      <c r="C7" s="7" t="str">
        <f>CONCATENATE(REPT("     ",AspectsConcerns!A7)," ",AspectsConcerns!B7)</f>
        <v xml:space="preserve">      communication</v>
      </c>
      <c r="D7" s="7" t="s">
        <v>187</v>
      </c>
      <c r="E7" s="7" t="s">
        <v>15</v>
      </c>
    </row>
    <row r="8" spans="1:5" ht="30" x14ac:dyDescent="0.2">
      <c r="A8" s="7">
        <v>2</v>
      </c>
      <c r="B8" s="7" t="s">
        <v>166</v>
      </c>
      <c r="C8" s="7" t="str">
        <f>CONCATENATE(REPT("     ",AspectsConcerns!A8)," ",AspectsConcerns!B8)</f>
        <v xml:space="preserve">           Syntactic Interoperability</v>
      </c>
      <c r="D8" s="7" t="s">
        <v>167</v>
      </c>
      <c r="E8" s="7" t="s">
        <v>202</v>
      </c>
    </row>
    <row r="9" spans="1:5" x14ac:dyDescent="0.2">
      <c r="A9" s="7">
        <v>3</v>
      </c>
      <c r="B9" s="7" t="s">
        <v>168</v>
      </c>
      <c r="C9" s="7" t="str">
        <f>CONCATENATE(REPT("     ",AspectsConcerns!A9)," ",AspectsConcerns!B9)</f>
        <v xml:space="preserve">                OSI-Application</v>
      </c>
      <c r="D9" s="7" t="s">
        <v>169</v>
      </c>
      <c r="E9" s="7" t="s">
        <v>203</v>
      </c>
    </row>
    <row r="10" spans="1:5" x14ac:dyDescent="0.2">
      <c r="A10" s="7">
        <v>3</v>
      </c>
      <c r="B10" s="7" t="s">
        <v>170</v>
      </c>
      <c r="C10" s="7" t="str">
        <f>CONCATENATE(REPT("     ",AspectsConcerns!A10)," ",AspectsConcerns!B10)</f>
        <v xml:space="preserve">                OSI-Presentation</v>
      </c>
      <c r="D10" s="7" t="s">
        <v>171</v>
      </c>
      <c r="E10" s="7" t="s">
        <v>204</v>
      </c>
    </row>
    <row r="11" spans="1:5" ht="30" x14ac:dyDescent="0.2">
      <c r="A11" s="7">
        <v>2</v>
      </c>
      <c r="B11" s="7" t="s">
        <v>172</v>
      </c>
      <c r="C11" s="7" t="str">
        <f>CONCATENATE(REPT("     ",AspectsConcerns!A11)," ",AspectsConcerns!B11)</f>
        <v xml:space="preserve">           Network Interoperability</v>
      </c>
      <c r="D11" s="7" t="s">
        <v>173</v>
      </c>
      <c r="E11" s="7" t="s">
        <v>205</v>
      </c>
    </row>
    <row r="12" spans="1:5" x14ac:dyDescent="0.2">
      <c r="A12" s="7">
        <v>3</v>
      </c>
      <c r="B12" s="7" t="s">
        <v>174</v>
      </c>
      <c r="C12" s="7" t="str">
        <f>CONCATENATE(REPT("     ",AspectsConcerns!A12)," ",AspectsConcerns!B12)</f>
        <v xml:space="preserve">                OSI-Session</v>
      </c>
      <c r="D12" s="7" t="s">
        <v>175</v>
      </c>
      <c r="E12" s="7" t="s">
        <v>226</v>
      </c>
    </row>
    <row r="13" spans="1:5" x14ac:dyDescent="0.2">
      <c r="A13" s="7">
        <v>3</v>
      </c>
      <c r="B13" s="7" t="s">
        <v>176</v>
      </c>
      <c r="C13" s="7" t="str">
        <f>CONCATENATE(REPT("     ",AspectsConcerns!A13)," ",AspectsConcerns!B13)</f>
        <v xml:space="preserve">                OSI-Transport</v>
      </c>
      <c r="D13" s="7" t="s">
        <v>177</v>
      </c>
      <c r="E13" s="7" t="s">
        <v>206</v>
      </c>
    </row>
    <row r="14" spans="1:5" x14ac:dyDescent="0.2">
      <c r="A14" s="7">
        <v>3</v>
      </c>
      <c r="B14" s="7" t="s">
        <v>178</v>
      </c>
      <c r="C14" s="7" t="str">
        <f>CONCATENATE(REPT("     ",AspectsConcerns!A14)," ",AspectsConcerns!B14)</f>
        <v xml:space="preserve">                OSI-Network</v>
      </c>
      <c r="D14" s="7" t="s">
        <v>179</v>
      </c>
      <c r="E14" s="7" t="s">
        <v>207</v>
      </c>
    </row>
    <row r="15" spans="1:5" x14ac:dyDescent="0.2">
      <c r="A15" s="7">
        <v>2</v>
      </c>
      <c r="B15" s="7" t="s">
        <v>180</v>
      </c>
      <c r="C15" s="7" t="str">
        <f>CONCATENATE(REPT("     ",AspectsConcerns!A15)," ",AspectsConcerns!B15)</f>
        <v xml:space="preserve">           Basic Connectivity</v>
      </c>
      <c r="D15" s="7" t="s">
        <v>181</v>
      </c>
      <c r="E15" s="7" t="s">
        <v>208</v>
      </c>
    </row>
    <row r="16" spans="1:5" x14ac:dyDescent="0.2">
      <c r="A16" s="7">
        <v>3</v>
      </c>
      <c r="B16" s="7" t="s">
        <v>182</v>
      </c>
      <c r="C16" s="7" t="str">
        <f>CONCATENATE(REPT("     ",AspectsConcerns!A16)," ",AspectsConcerns!B16)</f>
        <v xml:space="preserve">                OSI-Data Link</v>
      </c>
      <c r="D16" s="7" t="s">
        <v>183</v>
      </c>
      <c r="E16" s="7" t="s">
        <v>209</v>
      </c>
    </row>
    <row r="17" spans="1:5" x14ac:dyDescent="0.2">
      <c r="A17" s="7">
        <v>3</v>
      </c>
      <c r="B17" s="7" t="s">
        <v>184</v>
      </c>
      <c r="C17" s="7" t="str">
        <f>CONCATENATE(REPT("     ",AspectsConcerns!A17)," ",AspectsConcerns!B17)</f>
        <v xml:space="preserve">                OSI-Physical</v>
      </c>
      <c r="D17" s="7" t="s">
        <v>185</v>
      </c>
      <c r="E17" s="7" t="s">
        <v>210</v>
      </c>
    </row>
    <row r="18" spans="1:5" ht="45" x14ac:dyDescent="0.2">
      <c r="A18" s="7">
        <v>1</v>
      </c>
      <c r="B18" s="7" t="s">
        <v>16</v>
      </c>
      <c r="C18" s="7" t="str">
        <f>CONCATENATE(REPT("     ",AspectsConcerns!A18)," ",AspectsConcerns!B18)</f>
        <v xml:space="preserve">      controllability</v>
      </c>
      <c r="D18" s="7" t="s">
        <v>187</v>
      </c>
      <c r="E18" s="7" t="s">
        <v>17</v>
      </c>
    </row>
    <row r="19" spans="1:5" x14ac:dyDescent="0.2">
      <c r="A19" s="7">
        <v>1</v>
      </c>
      <c r="B19" s="7" t="s">
        <v>18</v>
      </c>
      <c r="C19" s="7" t="str">
        <f>CONCATENATE(REPT("     ",AspectsConcerns!A19)," ",AspectsConcerns!B19)</f>
        <v xml:space="preserve">      functionality</v>
      </c>
      <c r="D19" s="7" t="s">
        <v>187</v>
      </c>
      <c r="E19" s="7" t="s">
        <v>19</v>
      </c>
    </row>
    <row r="20" spans="1:5" x14ac:dyDescent="0.2">
      <c r="A20" s="7">
        <v>1</v>
      </c>
      <c r="B20" s="7" t="s">
        <v>20</v>
      </c>
      <c r="C20" s="7" t="str">
        <f>CONCATENATE(REPT("     ",AspectsConcerns!A20)," ",AspectsConcerns!B20)</f>
        <v xml:space="preserve">      measurability</v>
      </c>
      <c r="D20" s="7" t="s">
        <v>187</v>
      </c>
      <c r="E20" s="7" t="s">
        <v>21</v>
      </c>
    </row>
    <row r="21" spans="1:5" ht="30" x14ac:dyDescent="0.2">
      <c r="A21" s="7">
        <v>1</v>
      </c>
      <c r="B21" s="7" t="s">
        <v>22</v>
      </c>
      <c r="C21" s="7" t="str">
        <f>CONCATENATE(REPT("     ",AspectsConcerns!A21)," ",AspectsConcerns!B21)</f>
        <v xml:space="preserve">      monitorability</v>
      </c>
      <c r="D21" s="7" t="s">
        <v>187</v>
      </c>
      <c r="E21" s="7" t="s">
        <v>23</v>
      </c>
    </row>
    <row r="22" spans="1:5" x14ac:dyDescent="0.2">
      <c r="A22" s="7">
        <v>1</v>
      </c>
      <c r="B22" s="7" t="s">
        <v>24</v>
      </c>
      <c r="C22" s="7" t="str">
        <f>CONCATENATE(REPT("     ",AspectsConcerns!A22)," ",AspectsConcerns!B22)</f>
        <v xml:space="preserve">      performance</v>
      </c>
      <c r="D22" s="7" t="s">
        <v>187</v>
      </c>
      <c r="E22" s="7" t="s">
        <v>25</v>
      </c>
    </row>
    <row r="23" spans="1:5" x14ac:dyDescent="0.2">
      <c r="A23" s="7">
        <v>1</v>
      </c>
      <c r="B23" s="7" t="s">
        <v>26</v>
      </c>
      <c r="C23" s="7" t="str">
        <f>CONCATENATE(REPT("     ",AspectsConcerns!A23)," ",AspectsConcerns!B23)</f>
        <v xml:space="preserve">      physical</v>
      </c>
      <c r="D23" s="7" t="s">
        <v>187</v>
      </c>
      <c r="E23" s="7" t="s">
        <v>27</v>
      </c>
    </row>
    <row r="24" spans="1:5" ht="45" x14ac:dyDescent="0.2">
      <c r="A24" s="7">
        <v>1</v>
      </c>
      <c r="B24" s="7" t="s">
        <v>28</v>
      </c>
      <c r="C24" s="7" t="str">
        <f>CONCATENATE(REPT("     ",AspectsConcerns!A24)," ",AspectsConcerns!B24)</f>
        <v xml:space="preserve">      physical context</v>
      </c>
      <c r="D24" s="7" t="s">
        <v>187</v>
      </c>
      <c r="E24" s="7" t="s">
        <v>29</v>
      </c>
    </row>
    <row r="25" spans="1:5" x14ac:dyDescent="0.2">
      <c r="A25" s="7">
        <v>1</v>
      </c>
      <c r="B25" s="7" t="s">
        <v>30</v>
      </c>
      <c r="C25" s="7" t="str">
        <f>CONCATENATE(REPT("     ",AspectsConcerns!A25)," ",AspectsConcerns!B25)</f>
        <v xml:space="preserve">      sensing</v>
      </c>
      <c r="D25" s="7" t="s">
        <v>187</v>
      </c>
      <c r="E25" s="7" t="s">
        <v>31</v>
      </c>
    </row>
    <row r="26" spans="1:5" ht="90" x14ac:dyDescent="0.2">
      <c r="A26" s="7">
        <v>1</v>
      </c>
      <c r="B26" s="7" t="s">
        <v>32</v>
      </c>
      <c r="C26" s="7" t="str">
        <f>CONCATENATE(REPT("     ",AspectsConcerns!A26)," ",AspectsConcerns!B26)</f>
        <v xml:space="preserve">      uncertainty</v>
      </c>
      <c r="D26" s="7" t="s">
        <v>187</v>
      </c>
      <c r="E26" s="7" t="s">
        <v>33</v>
      </c>
    </row>
    <row r="27" spans="1:5" x14ac:dyDescent="0.2">
      <c r="A27" s="7">
        <v>1</v>
      </c>
      <c r="B27" s="7" t="s">
        <v>188</v>
      </c>
      <c r="C27" s="7" t="str">
        <f>CONCATENATE(REPT("     ",AspectsConcerns!A27)," ",AspectsConcerns!B27)</f>
        <v xml:space="preserve">      statesAndModes</v>
      </c>
      <c r="D27" s="7" t="s">
        <v>189</v>
      </c>
      <c r="E27" s="7" t="s">
        <v>224</v>
      </c>
    </row>
    <row r="28" spans="1:5" x14ac:dyDescent="0.2">
      <c r="A28" s="7">
        <v>1</v>
      </c>
      <c r="B28" s="7" t="s">
        <v>222</v>
      </c>
      <c r="C28" s="7" t="str">
        <f>CONCATENATE(REPT("     ",AspectsConcerns!A28)," ",AspectsConcerns!B28)</f>
        <v xml:space="preserve">      manageability</v>
      </c>
      <c r="D28" s="7"/>
      <c r="E28" s="7" t="s">
        <v>223</v>
      </c>
    </row>
    <row r="29" spans="1:5" ht="44" customHeight="1" x14ac:dyDescent="0.2">
      <c r="A29" s="7">
        <v>2</v>
      </c>
      <c r="B29" s="7" t="s">
        <v>194</v>
      </c>
      <c r="C29" s="7" t="str">
        <f>CONCATENATE(REPT("     ",AspectsConcerns!A29)," ",AspectsConcerns!B29)</f>
        <v xml:space="preserve">           configurationManagement</v>
      </c>
      <c r="D29" s="7" t="s">
        <v>190</v>
      </c>
      <c r="E29" s="7" t="s">
        <v>227</v>
      </c>
    </row>
    <row r="30" spans="1:5" ht="30" x14ac:dyDescent="0.2">
      <c r="A30" s="7">
        <v>2</v>
      </c>
      <c r="B30" s="7" t="s">
        <v>195</v>
      </c>
      <c r="C30" s="7" t="str">
        <f>CONCATENATE(REPT("     ",AspectsConcerns!A30)," ",AspectsConcerns!B30)</f>
        <v xml:space="preserve">           configurationForLeastFFunctionality</v>
      </c>
      <c r="D30" s="7" t="s">
        <v>191</v>
      </c>
      <c r="E30" s="7" t="s">
        <v>212</v>
      </c>
    </row>
    <row r="31" spans="1:5" ht="30" x14ac:dyDescent="0.2">
      <c r="A31" s="7">
        <v>2</v>
      </c>
      <c r="B31" s="7" t="s">
        <v>192</v>
      </c>
      <c r="C31" s="7" t="str">
        <f>CONCATENATE(REPT("     ",AspectsConcerns!A31)," ",AspectsConcerns!B31)</f>
        <v xml:space="preserve">           Component Inventory</v>
      </c>
      <c r="D31" s="7" t="s">
        <v>193</v>
      </c>
      <c r="E31" s="7" t="s">
        <v>213</v>
      </c>
    </row>
    <row r="32" spans="1:5" x14ac:dyDescent="0.2">
      <c r="A32" s="5">
        <v>0</v>
      </c>
      <c r="B32" s="5" t="s">
        <v>4</v>
      </c>
      <c r="C32" s="5" t="str">
        <f>CONCATENATE(REPT("     ",AspectsConcerns!A32)," ",AspectsConcerns!B32)</f>
        <v xml:space="preserve"> Business</v>
      </c>
      <c r="D32" s="5" t="s">
        <v>187</v>
      </c>
      <c r="E32" s="6" t="s">
        <v>116</v>
      </c>
    </row>
    <row r="33" spans="1:5" x14ac:dyDescent="0.2">
      <c r="A33" s="7">
        <v>1</v>
      </c>
      <c r="B33" s="7" t="s">
        <v>34</v>
      </c>
      <c r="C33" s="7" t="str">
        <f>CONCATENATE(REPT("     ",AspectsConcerns!A33)," ",AspectsConcerns!B33)</f>
        <v xml:space="preserve">      enterprise</v>
      </c>
      <c r="D33" s="7" t="s">
        <v>187</v>
      </c>
      <c r="E33" s="7" t="s">
        <v>35</v>
      </c>
    </row>
    <row r="34" spans="1:5" x14ac:dyDescent="0.2">
      <c r="A34" s="7">
        <v>1</v>
      </c>
      <c r="B34" s="7" t="s">
        <v>2</v>
      </c>
      <c r="C34" s="7" t="str">
        <f>CONCATENATE(REPT("     ",AspectsConcerns!A34)," ",AspectsConcerns!B34)</f>
        <v xml:space="preserve">      cost</v>
      </c>
      <c r="D34" s="7" t="s">
        <v>187</v>
      </c>
      <c r="E34" s="7" t="s">
        <v>36</v>
      </c>
    </row>
    <row r="35" spans="1:5" x14ac:dyDescent="0.2">
      <c r="A35" s="7">
        <v>1</v>
      </c>
      <c r="B35" s="7" t="s">
        <v>37</v>
      </c>
      <c r="C35" s="7" t="str">
        <f>CONCATENATE(REPT("     ",AspectsConcerns!A35)," ",AspectsConcerns!B35)</f>
        <v xml:space="preserve">      environment</v>
      </c>
      <c r="D35" s="7" t="s">
        <v>187</v>
      </c>
      <c r="E35" s="7" t="s">
        <v>197</v>
      </c>
    </row>
    <row r="36" spans="1:5" x14ac:dyDescent="0.2">
      <c r="A36" s="7">
        <v>1</v>
      </c>
      <c r="B36" s="7" t="s">
        <v>38</v>
      </c>
      <c r="C36" s="7" t="str">
        <f>CONCATENATE(REPT("     ",AspectsConcerns!A36)," ",AspectsConcerns!B36)</f>
        <v xml:space="preserve">      policy</v>
      </c>
      <c r="D36" s="7" t="s">
        <v>187</v>
      </c>
      <c r="E36" s="7" t="s">
        <v>39</v>
      </c>
    </row>
    <row r="37" spans="1:5" x14ac:dyDescent="0.2">
      <c r="A37" s="7">
        <v>1</v>
      </c>
      <c r="B37" s="7" t="s">
        <v>40</v>
      </c>
      <c r="C37" s="7" t="str">
        <f>CONCATENATE(REPT("     ",AspectsConcerns!A37)," ",AspectsConcerns!B37)</f>
        <v xml:space="preserve">      quality</v>
      </c>
      <c r="D37" s="7" t="s">
        <v>187</v>
      </c>
      <c r="E37" s="7" t="s">
        <v>41</v>
      </c>
    </row>
    <row r="38" spans="1:5" x14ac:dyDescent="0.2">
      <c r="A38" s="7">
        <v>1</v>
      </c>
      <c r="B38" s="7" t="s">
        <v>42</v>
      </c>
      <c r="C38" s="7" t="str">
        <f>CONCATENATE(REPT("     ",AspectsConcerns!A38)," ",AspectsConcerns!B38)</f>
        <v xml:space="preserve">      regulatory</v>
      </c>
      <c r="D38" s="7" t="s">
        <v>187</v>
      </c>
      <c r="E38" s="7" t="s">
        <v>43</v>
      </c>
    </row>
    <row r="39" spans="1:5" x14ac:dyDescent="0.2">
      <c r="A39" s="7">
        <v>1</v>
      </c>
      <c r="B39" s="7" t="s">
        <v>44</v>
      </c>
      <c r="C39" s="7" t="str">
        <f>CONCATENATE(REPT("     ",AspectsConcerns!A39)," ",AspectsConcerns!B39)</f>
        <v xml:space="preserve">      time to market</v>
      </c>
      <c r="D39" s="7" t="s">
        <v>187</v>
      </c>
      <c r="E39" s="7" t="s">
        <v>45</v>
      </c>
    </row>
    <row r="40" spans="1:5" ht="30" x14ac:dyDescent="0.2">
      <c r="A40" s="7">
        <v>1</v>
      </c>
      <c r="B40" s="7" t="s">
        <v>46</v>
      </c>
      <c r="C40" s="7" t="str">
        <f>CONCATENATE(REPT("     ",AspectsConcerns!A40)," ",AspectsConcerns!B40)</f>
        <v xml:space="preserve">      utility</v>
      </c>
      <c r="D40" s="7" t="s">
        <v>187</v>
      </c>
      <c r="E40" s="7" t="s">
        <v>47</v>
      </c>
    </row>
    <row r="41" spans="1:5" x14ac:dyDescent="0.2">
      <c r="A41" s="7">
        <v>1</v>
      </c>
      <c r="B41" s="7" t="s">
        <v>196</v>
      </c>
      <c r="C41" s="7" t="str">
        <f>CONCATENATE(REPT("     ",AspectsConcerns!A41)," ",AspectsConcerns!B41)</f>
        <v xml:space="preserve">      Planning</v>
      </c>
      <c r="D41" s="7"/>
      <c r="E41" s="7" t="s">
        <v>211</v>
      </c>
    </row>
    <row r="42" spans="1:5" x14ac:dyDescent="0.2">
      <c r="A42" s="5">
        <v>0</v>
      </c>
      <c r="B42" s="5" t="s">
        <v>5</v>
      </c>
      <c r="C42" s="5" t="str">
        <f>CONCATENATE(REPT("     ",AspectsConcerns!A42)," ",AspectsConcerns!B42)</f>
        <v xml:space="preserve"> Human</v>
      </c>
      <c r="D42" s="5" t="s">
        <v>187</v>
      </c>
      <c r="E42" s="6" t="s">
        <v>117</v>
      </c>
    </row>
    <row r="43" spans="1:5" x14ac:dyDescent="0.2">
      <c r="A43" s="7">
        <v>1</v>
      </c>
      <c r="B43" s="7" t="s">
        <v>48</v>
      </c>
      <c r="C43" s="7" t="str">
        <f>CONCATENATE(REPT("     ",AspectsConcerns!A43)," ",AspectsConcerns!B43)</f>
        <v xml:space="preserve">      human factors</v>
      </c>
      <c r="D43" s="7" t="s">
        <v>187</v>
      </c>
      <c r="E43" s="7" t="s">
        <v>49</v>
      </c>
    </row>
    <row r="44" spans="1:5" ht="45" x14ac:dyDescent="0.2">
      <c r="A44" s="7">
        <v>1</v>
      </c>
      <c r="B44" s="7" t="s">
        <v>50</v>
      </c>
      <c r="C44" s="7" t="str">
        <f>CONCATENATE(REPT("     ",AspectsConcerns!A44)," ",AspectsConcerns!B44)</f>
        <v xml:space="preserve">      usability</v>
      </c>
      <c r="D44" s="7" t="s">
        <v>187</v>
      </c>
      <c r="E44" s="7" t="s">
        <v>51</v>
      </c>
    </row>
    <row r="45" spans="1:5" x14ac:dyDescent="0.2">
      <c r="A45" s="5">
        <v>0</v>
      </c>
      <c r="B45" s="5" t="s">
        <v>6</v>
      </c>
      <c r="C45" s="5" t="str">
        <f>CONCATENATE(REPT("     ",AspectsConcerns!A45)," ",AspectsConcerns!B45)</f>
        <v xml:space="preserve"> Trustworthiness</v>
      </c>
      <c r="D45" s="5" t="s">
        <v>187</v>
      </c>
      <c r="E45" s="6" t="s">
        <v>118</v>
      </c>
    </row>
    <row r="46" spans="1:5" ht="75" x14ac:dyDescent="0.2">
      <c r="A46" s="7">
        <v>1</v>
      </c>
      <c r="B46" s="7" t="s">
        <v>52</v>
      </c>
      <c r="C46" s="7" t="str">
        <f>CONCATENATE(REPT("     ",AspectsConcerns!A46)," ",AspectsConcerns!B46)</f>
        <v xml:space="preserve">      privacy</v>
      </c>
      <c r="D46" s="7" t="s">
        <v>187</v>
      </c>
      <c r="E46" s="7" t="s">
        <v>53</v>
      </c>
    </row>
    <row r="47" spans="1:5" x14ac:dyDescent="0.2">
      <c r="A47" s="7">
        <v>1</v>
      </c>
      <c r="B47" s="7" t="s">
        <v>54</v>
      </c>
      <c r="C47" s="7" t="str">
        <f>CONCATENATE(REPT("     ",AspectsConcerns!A47)," ",AspectsConcerns!B47)</f>
        <v xml:space="preserve">      reliability</v>
      </c>
      <c r="D47" s="7" t="s">
        <v>187</v>
      </c>
      <c r="E47" s="7" t="s">
        <v>55</v>
      </c>
    </row>
    <row r="48" spans="1:5" ht="30" x14ac:dyDescent="0.2">
      <c r="A48" s="7">
        <v>1</v>
      </c>
      <c r="B48" s="7" t="s">
        <v>56</v>
      </c>
      <c r="C48" s="7" t="str">
        <f>CONCATENATE(REPT("     ",AspectsConcerns!A48)," ",AspectsConcerns!B48)</f>
        <v xml:space="preserve">      resilience</v>
      </c>
      <c r="D48" s="7" t="s">
        <v>187</v>
      </c>
      <c r="E48" s="7" t="s">
        <v>57</v>
      </c>
    </row>
    <row r="49" spans="1:5" ht="30" x14ac:dyDescent="0.2">
      <c r="A49" s="7">
        <v>1</v>
      </c>
      <c r="B49" s="7" t="s">
        <v>58</v>
      </c>
      <c r="C49" s="7" t="str">
        <f>CONCATENATE(REPT("     ",AspectsConcerns!A49)," ",AspectsConcerns!B49)</f>
        <v xml:space="preserve">      safety</v>
      </c>
      <c r="D49" s="7" t="s">
        <v>187</v>
      </c>
      <c r="E49" s="7" t="s">
        <v>59</v>
      </c>
    </row>
    <row r="50" spans="1:5" ht="75" x14ac:dyDescent="0.2">
      <c r="A50" s="7">
        <v>1</v>
      </c>
      <c r="B50" s="7" t="s">
        <v>60</v>
      </c>
      <c r="C50" s="7" t="str">
        <f>CONCATENATE(REPT("     ",AspectsConcerns!A50)," ",AspectsConcerns!B50)</f>
        <v xml:space="preserve">      security</v>
      </c>
      <c r="D50" s="7" t="s">
        <v>187</v>
      </c>
      <c r="E50" s="7" t="s">
        <v>113</v>
      </c>
    </row>
    <row r="51" spans="1:5" x14ac:dyDescent="0.2">
      <c r="A51" s="7">
        <v>2</v>
      </c>
      <c r="B51" s="7" t="s">
        <v>108</v>
      </c>
      <c r="C51" s="7" t="str">
        <f>CONCATENATE(REPT("     ",AspectsConcerns!A51)," ",AspectsConcerns!B51)</f>
        <v xml:space="preserve">           cybersecurity</v>
      </c>
      <c r="D51" s="7" t="s">
        <v>187</v>
      </c>
      <c r="E51" s="7" t="s">
        <v>228</v>
      </c>
    </row>
    <row r="52" spans="1:5" x14ac:dyDescent="0.2">
      <c r="A52" s="7">
        <v>3</v>
      </c>
      <c r="B52" s="7" t="s">
        <v>107</v>
      </c>
      <c r="C52" s="7" t="str">
        <f>CONCATENATE(REPT("     ",AspectsConcerns!A52)," ",AspectsConcerns!B52)</f>
        <v xml:space="preserve">                confidentiality</v>
      </c>
      <c r="D52" s="7" t="s">
        <v>187</v>
      </c>
      <c r="E52" s="7" t="s">
        <v>112</v>
      </c>
    </row>
    <row r="53" spans="1:5" x14ac:dyDescent="0.2">
      <c r="A53" s="7">
        <v>3</v>
      </c>
      <c r="B53" s="7" t="s">
        <v>110</v>
      </c>
      <c r="C53" s="7" t="str">
        <f>CONCATENATE(REPT("     ",AspectsConcerns!A53)," ",AspectsConcerns!B53)</f>
        <v xml:space="preserve">                integrity</v>
      </c>
      <c r="D53" s="7" t="s">
        <v>187</v>
      </c>
      <c r="E53" s="7" t="s">
        <v>215</v>
      </c>
    </row>
    <row r="54" spans="1:5" x14ac:dyDescent="0.2">
      <c r="A54" s="7">
        <v>3</v>
      </c>
      <c r="B54" s="7" t="s">
        <v>111</v>
      </c>
      <c r="C54" s="7" t="str">
        <f>CONCATENATE(REPT("     ",AspectsConcerns!A54)," ",AspectsConcerns!B54)</f>
        <v xml:space="preserve">                availability</v>
      </c>
      <c r="D54" s="7" t="s">
        <v>187</v>
      </c>
      <c r="E54" s="7" t="s">
        <v>114</v>
      </c>
    </row>
    <row r="55" spans="1:5" x14ac:dyDescent="0.2">
      <c r="A55" s="7">
        <v>2</v>
      </c>
      <c r="B55" s="7" t="s">
        <v>109</v>
      </c>
      <c r="C55" s="7" t="str">
        <f>CONCATENATE(REPT("     ",AspectsConcerns!A55)," ",AspectsConcerns!B55)</f>
        <v xml:space="preserve">           physicalsecurity</v>
      </c>
      <c r="D55" s="7" t="s">
        <v>187</v>
      </c>
      <c r="E55" s="7" t="s">
        <v>214</v>
      </c>
    </row>
    <row r="56" spans="1:5" ht="30" x14ac:dyDescent="0.2">
      <c r="A56" s="5">
        <v>0</v>
      </c>
      <c r="B56" s="5" t="s">
        <v>7</v>
      </c>
      <c r="C56" s="5" t="str">
        <f>CONCATENATE(REPT("     ",AspectsConcerns!A56)," ",AspectsConcerns!B56)</f>
        <v xml:space="preserve"> Timing</v>
      </c>
      <c r="D56" s="5" t="s">
        <v>187</v>
      </c>
      <c r="E56" s="6" t="s">
        <v>119</v>
      </c>
    </row>
    <row r="57" spans="1:5" x14ac:dyDescent="0.2">
      <c r="A57" s="7">
        <v>1</v>
      </c>
      <c r="B57" s="7" t="s">
        <v>61</v>
      </c>
      <c r="C57" s="7" t="str">
        <f>CONCATENATE(REPT("     ",AspectsConcerns!A57)," ",AspectsConcerns!B57)</f>
        <v xml:space="preserve">      logical time</v>
      </c>
      <c r="D57" s="7" t="s">
        <v>187</v>
      </c>
      <c r="E57" s="7" t="s">
        <v>62</v>
      </c>
    </row>
    <row r="58" spans="1:5" ht="60" x14ac:dyDescent="0.2">
      <c r="A58" s="7">
        <v>1</v>
      </c>
      <c r="B58" s="7" t="s">
        <v>63</v>
      </c>
      <c r="C58" s="7" t="str">
        <f>CONCATENATE(REPT("     ",AspectsConcerns!A58)," ",AspectsConcerns!B58)</f>
        <v xml:space="preserve">      managing timing and latency</v>
      </c>
      <c r="D58" s="7" t="s">
        <v>187</v>
      </c>
      <c r="E58" s="7" t="s">
        <v>64</v>
      </c>
    </row>
    <row r="59" spans="1:5" ht="30" x14ac:dyDescent="0.2">
      <c r="A59" s="7">
        <v>1</v>
      </c>
      <c r="B59" s="7" t="s">
        <v>65</v>
      </c>
      <c r="C59" s="7" t="str">
        <f>CONCATENATE(REPT("     ",AspectsConcerns!A59)," ",AspectsConcerns!B59)</f>
        <v xml:space="preserve">      synchronization</v>
      </c>
      <c r="D59" s="7" t="s">
        <v>187</v>
      </c>
      <c r="E59" s="7" t="s">
        <v>66</v>
      </c>
    </row>
    <row r="60" spans="1:5" ht="30" x14ac:dyDescent="0.2">
      <c r="A60" s="7">
        <v>1</v>
      </c>
      <c r="B60" s="7" t="s">
        <v>67</v>
      </c>
      <c r="C60" s="7" t="str">
        <f>CONCATENATE(REPT("     ",AspectsConcerns!A60)," ",AspectsConcerns!B60)</f>
        <v xml:space="preserve">      time awareness</v>
      </c>
      <c r="D60" s="7" t="s">
        <v>187</v>
      </c>
      <c r="E60" s="7" t="s">
        <v>68</v>
      </c>
    </row>
    <row r="61" spans="1:5" ht="45" x14ac:dyDescent="0.2">
      <c r="A61" s="7">
        <v>1</v>
      </c>
      <c r="B61" s="7" t="s">
        <v>69</v>
      </c>
      <c r="C61" s="7" t="str">
        <f>CONCATENATE(REPT("     ",AspectsConcerns!A61)," ",AspectsConcerns!B61)</f>
        <v xml:space="preserve">      time-interval and latency control</v>
      </c>
      <c r="D61" s="7" t="s">
        <v>187</v>
      </c>
      <c r="E61" s="7" t="s">
        <v>70</v>
      </c>
    </row>
    <row r="62" spans="1:5" x14ac:dyDescent="0.2">
      <c r="A62" s="5">
        <v>0</v>
      </c>
      <c r="B62" s="5" t="s">
        <v>8</v>
      </c>
      <c r="C62" s="5" t="str">
        <f>CONCATENATE(REPT("     ",AspectsConcerns!A62)," ",AspectsConcerns!B62)</f>
        <v xml:space="preserve"> Data</v>
      </c>
      <c r="D62" s="5" t="s">
        <v>187</v>
      </c>
      <c r="E62" s="6" t="s">
        <v>120</v>
      </c>
    </row>
    <row r="63" spans="1:5" x14ac:dyDescent="0.2">
      <c r="A63" s="7">
        <v>1</v>
      </c>
      <c r="B63" s="7" t="s">
        <v>71</v>
      </c>
      <c r="C63" s="7" t="str">
        <f>CONCATENATE(REPT("     ",AspectsConcerns!A63)," ",AspectsConcerns!B63)</f>
        <v xml:space="preserve">      data semantics</v>
      </c>
      <c r="D63" s="7" t="s">
        <v>187</v>
      </c>
      <c r="E63" s="7" t="s">
        <v>72</v>
      </c>
    </row>
    <row r="64" spans="1:5" x14ac:dyDescent="0.2">
      <c r="A64" s="7">
        <v>2</v>
      </c>
      <c r="B64" s="7" t="s">
        <v>134</v>
      </c>
      <c r="C64" s="7" t="str">
        <f>CONCATENATE(REPT("     ",AspectsConcerns!A64)," ",AspectsConcerns!B64)</f>
        <v xml:space="preserve">           data models</v>
      </c>
      <c r="D64" s="7" t="s">
        <v>187</v>
      </c>
      <c r="E64" s="7" t="s">
        <v>141</v>
      </c>
    </row>
    <row r="65" spans="1:5" x14ac:dyDescent="0.2">
      <c r="A65" s="7">
        <v>2</v>
      </c>
      <c r="B65" s="7" t="s">
        <v>135</v>
      </c>
      <c r="C65" s="7" t="str">
        <f>CONCATENATE(REPT("     ",AspectsConcerns!A65)," ",AspectsConcerns!B65)</f>
        <v xml:space="preserve">           granularity</v>
      </c>
      <c r="D65" s="7" t="s">
        <v>187</v>
      </c>
      <c r="E65" s="7" t="s">
        <v>148</v>
      </c>
    </row>
    <row r="66" spans="1:5" x14ac:dyDescent="0.2">
      <c r="A66" s="7">
        <v>2</v>
      </c>
      <c r="B66" s="7" t="s">
        <v>136</v>
      </c>
      <c r="C66" s="7" t="str">
        <f>CONCATENATE(REPT("     ",AspectsConcerns!A66)," ",AspectsConcerns!B66)</f>
        <v xml:space="preserve">           meaning</v>
      </c>
      <c r="D66" s="7" t="s">
        <v>187</v>
      </c>
      <c r="E66" s="7" t="s">
        <v>149</v>
      </c>
    </row>
    <row r="67" spans="1:5" ht="30" x14ac:dyDescent="0.2">
      <c r="A67" s="7">
        <v>1</v>
      </c>
      <c r="B67" s="7" t="s">
        <v>73</v>
      </c>
      <c r="C67" s="7" t="str">
        <f>CONCATENATE(REPT("     ",AspectsConcerns!A67)," ",AspectsConcerns!B67)</f>
        <v xml:space="preserve">      identity</v>
      </c>
      <c r="D67" s="7" t="s">
        <v>187</v>
      </c>
      <c r="E67" s="7" t="s">
        <v>74</v>
      </c>
    </row>
    <row r="68" spans="1:5" ht="30" x14ac:dyDescent="0.2">
      <c r="A68" s="7">
        <v>2</v>
      </c>
      <c r="B68" s="7" t="s">
        <v>216</v>
      </c>
      <c r="C68" s="7" t="str">
        <f>CONCATENATE(REPT("     ",AspectsConcerns!A68)," ",AspectsConcerns!B68)</f>
        <v xml:space="preserve">           resourceIdentification</v>
      </c>
      <c r="D68" s="7" t="s">
        <v>198</v>
      </c>
      <c r="E68" s="7" t="s">
        <v>150</v>
      </c>
    </row>
    <row r="69" spans="1:5" x14ac:dyDescent="0.2">
      <c r="A69" s="7">
        <v>3</v>
      </c>
      <c r="B69" s="7" t="s">
        <v>217</v>
      </c>
      <c r="C69" s="7" t="str">
        <f>CONCATENATE(REPT("     ",AspectsConcerns!A69)," ",AspectsConcerns!B69)</f>
        <v xml:space="preserve">                userIdentification</v>
      </c>
      <c r="D69" s="7" t="s">
        <v>199</v>
      </c>
      <c r="E69" s="7" t="s">
        <v>229</v>
      </c>
    </row>
    <row r="70" spans="1:5" ht="30" x14ac:dyDescent="0.2">
      <c r="A70" s="7">
        <v>3</v>
      </c>
      <c r="B70" s="7" t="s">
        <v>218</v>
      </c>
      <c r="C70" s="7" t="str">
        <f>CONCATENATE(REPT("     ",AspectsConcerns!A70)," ",AspectsConcerns!B70)</f>
        <v xml:space="preserve">                deviceIdentification</v>
      </c>
      <c r="D70" s="7" t="s">
        <v>200</v>
      </c>
      <c r="E70" s="7" t="s">
        <v>230</v>
      </c>
    </row>
    <row r="71" spans="1:5" ht="30" x14ac:dyDescent="0.2">
      <c r="A71" s="7">
        <v>3</v>
      </c>
      <c r="B71" s="7" t="s">
        <v>219</v>
      </c>
      <c r="C71" s="7" t="str">
        <f>CONCATENATE(REPT("     ",AspectsConcerns!A71)," ",AspectsConcerns!B71)</f>
        <v xml:space="preserve">                objectIdentification</v>
      </c>
      <c r="D71" s="7" t="s">
        <v>201</v>
      </c>
      <c r="E71" s="7" t="s">
        <v>231</v>
      </c>
    </row>
    <row r="72" spans="1:5" x14ac:dyDescent="0.2">
      <c r="A72" s="7">
        <v>3</v>
      </c>
      <c r="B72" s="7" t="s">
        <v>220</v>
      </c>
      <c r="C72" s="7" t="str">
        <f>CONCATENATE(REPT("     ",AspectsConcerns!A72)," ",AspectsConcerns!B72)</f>
        <v xml:space="preserve">                classIdentification</v>
      </c>
      <c r="D72" s="7"/>
      <c r="E72" s="7" t="s">
        <v>232</v>
      </c>
    </row>
    <row r="73" spans="1:5" x14ac:dyDescent="0.2">
      <c r="A73" s="7">
        <v>2</v>
      </c>
      <c r="B73" s="7" t="s">
        <v>137</v>
      </c>
      <c r="C73" s="7" t="str">
        <f>CONCATENATE(REPT("     ",AspectsConcerns!A73)," ",AspectsConcerns!B73)</f>
        <v xml:space="preserve">           authentication</v>
      </c>
      <c r="D73" s="7" t="s">
        <v>187</v>
      </c>
      <c r="E73" s="7" t="s">
        <v>151</v>
      </c>
    </row>
    <row r="74" spans="1:5" x14ac:dyDescent="0.2">
      <c r="A74" s="7">
        <v>2</v>
      </c>
      <c r="B74" s="7" t="s">
        <v>138</v>
      </c>
      <c r="C74" s="7" t="str">
        <f>CONCATENATE(REPT("     ",AspectsConcerns!A74)," ",AspectsConcerns!B74)</f>
        <v xml:space="preserve">           authorization</v>
      </c>
      <c r="D74" s="7" t="s">
        <v>187</v>
      </c>
      <c r="E74" s="7" t="s">
        <v>152</v>
      </c>
    </row>
    <row r="75" spans="1:5" x14ac:dyDescent="0.2">
      <c r="A75" s="7">
        <v>2</v>
      </c>
      <c r="B75" s="7" t="s">
        <v>139</v>
      </c>
      <c r="C75" s="7" t="str">
        <f>CONCATENATE(REPT("     ",AspectsConcerns!A75)," ",AspectsConcerns!B75)</f>
        <v xml:space="preserve">           verification</v>
      </c>
      <c r="D75" s="7" t="s">
        <v>187</v>
      </c>
      <c r="E75" s="7" t="s">
        <v>153</v>
      </c>
    </row>
    <row r="76" spans="1:5" x14ac:dyDescent="0.2">
      <c r="A76" s="7">
        <v>2</v>
      </c>
      <c r="B76" s="7" t="s">
        <v>110</v>
      </c>
      <c r="C76" s="7" t="str">
        <f>CONCATENATE(REPT("     ",AspectsConcerns!A76)," ",AspectsConcerns!B76)</f>
        <v xml:space="preserve">           integrity</v>
      </c>
      <c r="D76" s="7" t="s">
        <v>187</v>
      </c>
      <c r="E76" s="7" t="s">
        <v>154</v>
      </c>
    </row>
    <row r="77" spans="1:5" x14ac:dyDescent="0.2">
      <c r="A77" s="7">
        <v>2</v>
      </c>
      <c r="B77" s="7" t="s">
        <v>221</v>
      </c>
      <c r="C77" s="7" t="str">
        <f>CONCATENATE(REPT("     ",AspectsConcerns!A77)," ",AspectsConcerns!B77)</f>
        <v xml:space="preserve">           configuration</v>
      </c>
      <c r="D77" s="7" t="s">
        <v>187</v>
      </c>
      <c r="E77" s="7" t="s">
        <v>155</v>
      </c>
    </row>
    <row r="78" spans="1:5" x14ac:dyDescent="0.2">
      <c r="A78" s="7">
        <v>2</v>
      </c>
      <c r="B78" s="7" t="s">
        <v>140</v>
      </c>
      <c r="C78" s="7" t="str">
        <f>CONCATENATE(REPT("     ",AspectsConcerns!A78)," ",AspectsConcerns!B78)</f>
        <v xml:space="preserve">           provenance</v>
      </c>
      <c r="D78" s="7" t="s">
        <v>187</v>
      </c>
      <c r="E78" s="7" t="s">
        <v>156</v>
      </c>
    </row>
    <row r="79" spans="1:5" ht="30" x14ac:dyDescent="0.2">
      <c r="A79" s="7">
        <v>1</v>
      </c>
      <c r="B79" s="7" t="s">
        <v>75</v>
      </c>
      <c r="C79" s="7" t="str">
        <f>CONCATENATE(REPT("     ",AspectsConcerns!A79)," ",AspectsConcerns!B79)</f>
        <v xml:space="preserve">      operations on data</v>
      </c>
      <c r="D79" s="7" t="s">
        <v>187</v>
      </c>
      <c r="E79" s="7" t="s">
        <v>76</v>
      </c>
    </row>
    <row r="80" spans="1:5" x14ac:dyDescent="0.2">
      <c r="A80" s="7">
        <v>2</v>
      </c>
      <c r="B80" s="7" t="s">
        <v>130</v>
      </c>
      <c r="C80" s="7" t="str">
        <f>CONCATENATE(REPT("     ",AspectsConcerns!A80)," ",AspectsConcerns!B80)</f>
        <v xml:space="preserve">           analytics</v>
      </c>
      <c r="D80" s="7" t="s">
        <v>187</v>
      </c>
      <c r="E80" s="7" t="s">
        <v>130</v>
      </c>
    </row>
    <row r="81" spans="1:5" x14ac:dyDescent="0.2">
      <c r="A81" s="7">
        <v>2</v>
      </c>
      <c r="B81" s="7" t="s">
        <v>125</v>
      </c>
      <c r="C81" s="7" t="str">
        <f>CONCATENATE(REPT("     ",AspectsConcerns!A81)," ",AspectsConcerns!B81)</f>
        <v xml:space="preserve">           fusion</v>
      </c>
      <c r="D81" s="7" t="s">
        <v>187</v>
      </c>
      <c r="E81" s="7" t="s">
        <v>127</v>
      </c>
    </row>
    <row r="82" spans="1:5" x14ac:dyDescent="0.2">
      <c r="A82" s="7">
        <v>2</v>
      </c>
      <c r="B82" s="7" t="s">
        <v>131</v>
      </c>
      <c r="C82" s="7" t="str">
        <f>CONCATENATE(REPT("     ",AspectsConcerns!A82)," ",AspectsConcerns!B82)</f>
        <v xml:space="preserve">           storage</v>
      </c>
      <c r="D82" s="7" t="s">
        <v>187</v>
      </c>
      <c r="E82" s="7" t="s">
        <v>128</v>
      </c>
    </row>
    <row r="83" spans="1:5" ht="30" x14ac:dyDescent="0.2">
      <c r="A83" s="7">
        <v>2</v>
      </c>
      <c r="B83" s="7" t="s">
        <v>132</v>
      </c>
      <c r="C83" s="7" t="str">
        <f>CONCATENATE(REPT("     ",AspectsConcerns!A83)," ",AspectsConcerns!B83)</f>
        <v xml:space="preserve">           aggregation/disaggregation</v>
      </c>
      <c r="D83" s="7" t="s">
        <v>187</v>
      </c>
      <c r="E83" s="7" t="s">
        <v>158</v>
      </c>
    </row>
    <row r="84" spans="1:5" x14ac:dyDescent="0.2">
      <c r="A84" s="7">
        <v>2</v>
      </c>
      <c r="B84" s="7" t="s">
        <v>133</v>
      </c>
      <c r="C84" s="7" t="str">
        <f>CONCATENATE(REPT("     ",AspectsConcerns!A84)," ",AspectsConcerns!B84)</f>
        <v xml:space="preserve">           transformation</v>
      </c>
      <c r="D84" s="7" t="s">
        <v>187</v>
      </c>
      <c r="E84" s="7" t="s">
        <v>157</v>
      </c>
    </row>
    <row r="85" spans="1:5" ht="30" x14ac:dyDescent="0.2">
      <c r="A85" s="7">
        <v>1</v>
      </c>
      <c r="B85" s="7" t="s">
        <v>77</v>
      </c>
      <c r="C85" s="7" t="str">
        <f>CONCATENATE(REPT("     ",AspectsConcerns!A85)," ",AspectsConcerns!B85)</f>
        <v xml:space="preserve">      relationship between data</v>
      </c>
      <c r="D85" s="7" t="s">
        <v>187</v>
      </c>
      <c r="E85" s="7" t="s">
        <v>78</v>
      </c>
    </row>
    <row r="86" spans="1:5" x14ac:dyDescent="0.2">
      <c r="A86" s="7">
        <v>2</v>
      </c>
      <c r="B86" s="7" t="s">
        <v>142</v>
      </c>
      <c r="C86" s="7" t="str">
        <f>CONCATENATE(REPT("     ",AspectsConcerns!A86)," ",AspectsConcerns!B86)</f>
        <v xml:space="preserve">           time of data</v>
      </c>
      <c r="D86" s="7" t="s">
        <v>187</v>
      </c>
      <c r="E86" s="7" t="s">
        <v>159</v>
      </c>
    </row>
    <row r="87" spans="1:5" ht="45" x14ac:dyDescent="0.2">
      <c r="A87" s="7">
        <v>2</v>
      </c>
      <c r="B87" s="7" t="s">
        <v>143</v>
      </c>
      <c r="C87" s="7" t="str">
        <f>CONCATENATE(REPT("     ",AspectsConcerns!A87)," ",AspectsConcerns!B87)</f>
        <v xml:space="preserve">           related data (including metadata)</v>
      </c>
      <c r="D87" s="7" t="s">
        <v>187</v>
      </c>
      <c r="E87" s="7" t="s">
        <v>160</v>
      </c>
    </row>
    <row r="88" spans="1:5" x14ac:dyDescent="0.2">
      <c r="A88" s="7">
        <v>2</v>
      </c>
      <c r="B88" s="7" t="s">
        <v>144</v>
      </c>
      <c r="C88" s="7" t="str">
        <f>CONCATENATE(REPT("     ",AspectsConcerns!A88)," ",AspectsConcerns!B88)</f>
        <v xml:space="preserve">           location of data</v>
      </c>
      <c r="D88" s="7" t="s">
        <v>187</v>
      </c>
      <c r="E88" s="7" t="s">
        <v>144</v>
      </c>
    </row>
    <row r="89" spans="1:5" x14ac:dyDescent="0.2">
      <c r="A89" s="7">
        <v>2</v>
      </c>
      <c r="B89" s="7" t="s">
        <v>145</v>
      </c>
      <c r="C89" s="7" t="str">
        <f>CONCATENATE(REPT("     ",AspectsConcerns!A89)," ",AspectsConcerns!B89)</f>
        <v xml:space="preserve">           inheritance</v>
      </c>
      <c r="D89" s="7" t="s">
        <v>187</v>
      </c>
      <c r="E89" s="7" t="s">
        <v>161</v>
      </c>
    </row>
    <row r="90" spans="1:5" x14ac:dyDescent="0.2">
      <c r="A90" s="7">
        <v>2</v>
      </c>
      <c r="B90" s="7" t="s">
        <v>146</v>
      </c>
      <c r="C90" s="7" t="str">
        <f>CONCATENATE(REPT("     ",AspectsConcerns!A90)," ",AspectsConcerns!B90)</f>
        <v xml:space="preserve">           polymorphism</v>
      </c>
      <c r="D90" s="7" t="s">
        <v>187</v>
      </c>
      <c r="E90" s="7" t="s">
        <v>162</v>
      </c>
    </row>
    <row r="91" spans="1:5" ht="30" x14ac:dyDescent="0.2">
      <c r="A91" s="7">
        <v>2</v>
      </c>
      <c r="B91" s="7" t="s">
        <v>163</v>
      </c>
      <c r="C91" s="7" t="str">
        <f>CONCATENATE(REPT("     ",AspectsConcerns!A91)," ",AspectsConcerns!B91)</f>
        <v xml:space="preserve">           directionality of relationships</v>
      </c>
      <c r="D91" s="7" t="s">
        <v>187</v>
      </c>
      <c r="E91" s="7" t="s">
        <v>147</v>
      </c>
    </row>
    <row r="92" spans="1:5" x14ac:dyDescent="0.2">
      <c r="A92" s="7">
        <v>2</v>
      </c>
      <c r="B92" s="7" t="s">
        <v>40</v>
      </c>
      <c r="C92" s="7" t="str">
        <f>CONCATENATE(REPT("     ",AspectsConcerns!A92)," ",AspectsConcerns!B92)</f>
        <v xml:space="preserve">           quality</v>
      </c>
      <c r="D92" s="7" t="s">
        <v>187</v>
      </c>
      <c r="E92" s="7" t="s">
        <v>164</v>
      </c>
    </row>
    <row r="93" spans="1:5" x14ac:dyDescent="0.2">
      <c r="A93" s="7">
        <v>1</v>
      </c>
      <c r="B93" s="7" t="s">
        <v>126</v>
      </c>
      <c r="C93" s="7" t="str">
        <f>CONCATENATE(REPT("     ",AspectsConcerns!A93)," ",AspectsConcerns!B93)</f>
        <v xml:space="preserve">      velocity</v>
      </c>
      <c r="D93" s="7" t="s">
        <v>187</v>
      </c>
      <c r="E93" s="7" t="s">
        <v>129</v>
      </c>
    </row>
    <row r="94" spans="1:5" ht="13" customHeight="1" x14ac:dyDescent="0.2">
      <c r="A94" s="5">
        <v>0</v>
      </c>
      <c r="B94" s="5" t="s">
        <v>9</v>
      </c>
      <c r="C94" s="5" t="str">
        <f>CONCATENATE(REPT("     ",AspectsConcerns!A94)," ",AspectsConcerns!B94)</f>
        <v xml:space="preserve"> Boundaries</v>
      </c>
      <c r="D94" s="5" t="s">
        <v>187</v>
      </c>
      <c r="E94" s="6" t="s">
        <v>121</v>
      </c>
    </row>
    <row r="95" spans="1:5" ht="30" x14ac:dyDescent="0.2">
      <c r="A95" s="7">
        <v>1</v>
      </c>
      <c r="B95" s="7" t="s">
        <v>79</v>
      </c>
      <c r="C95" s="7" t="str">
        <f>CONCATENATE(REPT("     ",AspectsConcerns!A95)," ",AspectsConcerns!B95)</f>
        <v xml:space="preserve">      behavioral</v>
      </c>
      <c r="D95" s="7" t="s">
        <v>187</v>
      </c>
      <c r="E95" s="7" t="s">
        <v>80</v>
      </c>
    </row>
    <row r="96" spans="1:5" x14ac:dyDescent="0.2">
      <c r="A96" s="7">
        <v>1</v>
      </c>
      <c r="B96" s="7" t="s">
        <v>81</v>
      </c>
      <c r="C96" s="7" t="str">
        <f>CONCATENATE(REPT("     ",AspectsConcerns!A96)," ",AspectsConcerns!B96)</f>
        <v xml:space="preserve">      networkability</v>
      </c>
      <c r="D96" s="7" t="s">
        <v>187</v>
      </c>
      <c r="E96" s="7" t="s">
        <v>82</v>
      </c>
    </row>
    <row r="97" spans="1:5" x14ac:dyDescent="0.2">
      <c r="A97" s="7">
        <v>1</v>
      </c>
      <c r="B97" s="7" t="s">
        <v>83</v>
      </c>
      <c r="C97" s="7" t="str">
        <f>CONCATENATE(REPT("     ",AspectsConcerns!A97)," ",AspectsConcerns!B97)</f>
        <v xml:space="preserve">      responsibility</v>
      </c>
      <c r="D97" s="7" t="s">
        <v>187</v>
      </c>
      <c r="E97" s="7" t="s">
        <v>84</v>
      </c>
    </row>
    <row r="98" spans="1:5" ht="45" x14ac:dyDescent="0.2">
      <c r="A98" s="5">
        <v>0</v>
      </c>
      <c r="B98" s="5" t="s">
        <v>10</v>
      </c>
      <c r="C98" s="5" t="str">
        <f>CONCATENATE(REPT("     ",AspectsConcerns!A98)," ",AspectsConcerns!B98)</f>
        <v xml:space="preserve"> Composition</v>
      </c>
      <c r="D98" s="5" t="s">
        <v>187</v>
      </c>
      <c r="E98" s="6" t="s">
        <v>122</v>
      </c>
    </row>
    <row r="99" spans="1:5" ht="30" x14ac:dyDescent="0.2">
      <c r="A99" s="7">
        <v>1</v>
      </c>
      <c r="B99" s="7" t="s">
        <v>85</v>
      </c>
      <c r="C99" s="7" t="str">
        <f>CONCATENATE(REPT("     ",AspectsConcerns!A99)," ",AspectsConcerns!B99)</f>
        <v xml:space="preserve">      adaptability</v>
      </c>
      <c r="D99" s="7" t="s">
        <v>187</v>
      </c>
      <c r="E99" s="7" t="s">
        <v>86</v>
      </c>
    </row>
    <row r="100" spans="1:5" ht="30" x14ac:dyDescent="0.2">
      <c r="A100" s="7">
        <v>1</v>
      </c>
      <c r="B100" s="7" t="s">
        <v>87</v>
      </c>
      <c r="C100" s="7" t="str">
        <f>CONCATENATE(REPT("     ",AspectsConcerns!A100)," ",AspectsConcerns!B100)</f>
        <v xml:space="preserve">      complexity</v>
      </c>
      <c r="D100" s="7" t="s">
        <v>187</v>
      </c>
      <c r="E100" s="7" t="s">
        <v>88</v>
      </c>
    </row>
    <row r="101" spans="1:5" x14ac:dyDescent="0.2">
      <c r="A101" s="7">
        <v>1</v>
      </c>
      <c r="B101" s="7" t="s">
        <v>89</v>
      </c>
      <c r="C101" s="7" t="str">
        <f>CONCATENATE(REPT("     ",AspectsConcerns!A101)," ",AspectsConcerns!B101)</f>
        <v xml:space="preserve">      constructivity</v>
      </c>
      <c r="D101" s="7" t="s">
        <v>187</v>
      </c>
      <c r="E101" s="7" t="s">
        <v>90</v>
      </c>
    </row>
    <row r="102" spans="1:5" ht="45" x14ac:dyDescent="0.2">
      <c r="A102" s="7">
        <v>1</v>
      </c>
      <c r="B102" s="7" t="s">
        <v>91</v>
      </c>
      <c r="C102" s="7" t="str">
        <f>CONCATENATE(REPT("     ",AspectsConcerns!A102)," ",AspectsConcerns!B102)</f>
        <v xml:space="preserve">      discoverability</v>
      </c>
      <c r="D102" s="7" t="s">
        <v>187</v>
      </c>
      <c r="E102" s="7" t="s">
        <v>92</v>
      </c>
    </row>
    <row r="103" spans="1:5" x14ac:dyDescent="0.2">
      <c r="A103" s="5">
        <v>0</v>
      </c>
      <c r="B103" s="5" t="s">
        <v>11</v>
      </c>
      <c r="C103" s="5" t="str">
        <f>CONCATENATE(REPT("     ",AspectsConcerns!A103)," ",AspectsConcerns!B103)</f>
        <v xml:space="preserve"> Lifecycle</v>
      </c>
      <c r="D103" s="5" t="s">
        <v>187</v>
      </c>
      <c r="E103" s="6" t="s">
        <v>123</v>
      </c>
    </row>
    <row r="104" spans="1:5" x14ac:dyDescent="0.2">
      <c r="A104" s="7">
        <v>1</v>
      </c>
      <c r="B104" s="7" t="s">
        <v>93</v>
      </c>
      <c r="C104" s="7" t="str">
        <f>CONCATENATE(REPT("     ",AspectsConcerns!A104)," ",AspectsConcerns!B104)</f>
        <v xml:space="preserve">      deployability</v>
      </c>
      <c r="D104" s="7" t="s">
        <v>187</v>
      </c>
      <c r="E104" s="7" t="s">
        <v>94</v>
      </c>
    </row>
    <row r="105" spans="1:5" x14ac:dyDescent="0.2">
      <c r="A105" s="7">
        <v>1</v>
      </c>
      <c r="B105" s="7" t="s">
        <v>95</v>
      </c>
      <c r="C105" s="7" t="str">
        <f>CONCATENATE(REPT("     ",AspectsConcerns!A105)," ",AspectsConcerns!B105)</f>
        <v xml:space="preserve">      disposability</v>
      </c>
      <c r="D105" s="7" t="s">
        <v>187</v>
      </c>
      <c r="E105" s="7" t="s">
        <v>96</v>
      </c>
    </row>
    <row r="106" spans="1:5" ht="30" x14ac:dyDescent="0.2">
      <c r="A106" s="7">
        <v>1</v>
      </c>
      <c r="B106" s="7" t="s">
        <v>97</v>
      </c>
      <c r="C106" s="7" t="str">
        <f>CONCATENATE(REPT("     ",AspectsConcerns!A106)," ",AspectsConcerns!B106)</f>
        <v xml:space="preserve">      engineerability</v>
      </c>
      <c r="D106" s="7" t="s">
        <v>187</v>
      </c>
      <c r="E106" s="7" t="s">
        <v>98</v>
      </c>
    </row>
    <row r="107" spans="1:5" x14ac:dyDescent="0.2">
      <c r="A107" s="7">
        <v>1</v>
      </c>
      <c r="B107" s="7" t="s">
        <v>99</v>
      </c>
      <c r="C107" s="7" t="str">
        <f>CONCATENATE(REPT("     ",AspectsConcerns!A107)," ",AspectsConcerns!B107)</f>
        <v xml:space="preserve">      maintainability</v>
      </c>
      <c r="D107" s="7" t="s">
        <v>187</v>
      </c>
      <c r="E107" s="7" t="s">
        <v>100</v>
      </c>
    </row>
    <row r="108" spans="1:5" x14ac:dyDescent="0.2">
      <c r="A108" s="7">
        <v>1</v>
      </c>
      <c r="B108" s="7" t="s">
        <v>101</v>
      </c>
      <c r="C108" s="7" t="str">
        <f>CONCATENATE(REPT("     ",AspectsConcerns!A108)," ",AspectsConcerns!B108)</f>
        <v xml:space="preserve">      operatability</v>
      </c>
      <c r="D108" s="7" t="s">
        <v>187</v>
      </c>
      <c r="E108" s="7" t="s">
        <v>102</v>
      </c>
    </row>
    <row r="109" spans="1:5" x14ac:dyDescent="0.2">
      <c r="A109" s="7">
        <v>1</v>
      </c>
      <c r="B109" s="7" t="s">
        <v>103</v>
      </c>
      <c r="C109" s="7" t="str">
        <f>CONCATENATE(REPT("     ",AspectsConcerns!A109)," ",AspectsConcerns!B109)</f>
        <v xml:space="preserve">      procureability</v>
      </c>
      <c r="D109" s="7" t="s">
        <v>187</v>
      </c>
      <c r="E109" s="7" t="s">
        <v>104</v>
      </c>
    </row>
    <row r="110" spans="1:5" x14ac:dyDescent="0.2">
      <c r="A110" s="7">
        <v>1</v>
      </c>
      <c r="B110" s="7" t="s">
        <v>105</v>
      </c>
      <c r="C110" s="7" t="str">
        <f>CONCATENATE(REPT("     ",AspectsConcerns!A110)," ",AspectsConcerns!B110)</f>
        <v xml:space="preserve">      producibility</v>
      </c>
      <c r="D110" s="7" t="s">
        <v>187</v>
      </c>
      <c r="E110" s="7" t="s">
        <v>106</v>
      </c>
    </row>
  </sheetData>
  <autoFilter ref="A4:E110"/>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AspectsConcerns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Edward Griffor</cp:lastModifiedBy>
  <cp:lastPrinted>2012-09-28T16:14:22Z</cp:lastPrinted>
  <dcterms:created xsi:type="dcterms:W3CDTF">2010-05-28T15:44:05Z</dcterms:created>
  <dcterms:modified xsi:type="dcterms:W3CDTF">2016-07-01T18:04:40Z</dcterms:modified>
</cp:coreProperties>
</file>