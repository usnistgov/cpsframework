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27510" codeName="{33BBC38B-C2DA-FC69-06AC-9F67D96B6324}"/>
  <workbookPr codeName="ThisWorkbook" autoCompressPictures="0"/>
  <mc:AlternateContent xmlns:mc="http://schemas.openxmlformats.org/markup-compatibility/2006">
    <mc:Choice Requires="x15">
      <x15ac:absPath xmlns:x15ac="http://schemas.microsoft.com/office/spreadsheetml/2010/11/ac" url="/Users/erg1/Desktop/CPS Framework Modeling/HVAC Use Case/"/>
    </mc:Choice>
  </mc:AlternateContent>
  <bookViews>
    <workbookView xWindow="0" yWindow="460" windowWidth="28280" windowHeight="15800" tabRatio="736"/>
  </bookViews>
  <sheets>
    <sheet name="BusinessCase" sheetId="21" r:id="rId1"/>
    <sheet name="UseCase.Scenario.Heating" sheetId="22" r:id="rId2"/>
    <sheet name="UseCase.Scenario.Cooling" sheetId="23" r:id="rId3"/>
    <sheet name="UseCase.Scenario.Automatic" sheetId="24" r:id="rId4"/>
    <sheet name="Interactions.WiFiMsgng" sheetId="26" r:id="rId5"/>
    <sheet name="BusinessObjects.Thermostat" sheetId="29" r:id="rId6"/>
    <sheet name="CPS.Thermostat" sheetId="25" r:id="rId7"/>
    <sheet name="CPS.Thermostat.Physical" sheetId="27" r:id="rId8"/>
    <sheet name="CPS.Thermostat.Cyber" sheetId="28" r:id="rId9"/>
  </sheets>
  <definedNames>
    <definedName name="_xlnm._FilterDatabase" localSheetId="0" hidden="1">BusinessCase!$A$4:$E$110</definedName>
    <definedName name="_xlnm._FilterDatabase" localSheetId="5" hidden="1">BusinessObjects.Thermostat!$A$4:$E$110</definedName>
    <definedName name="_xlnm._FilterDatabase" localSheetId="6" hidden="1">CPS.Thermostat!$A$4:$E$110</definedName>
    <definedName name="_xlnm._FilterDatabase" localSheetId="8" hidden="1">CPS.Thermostat.Cyber!$A$4:$E$110</definedName>
    <definedName name="_xlnm._FilterDatabase" localSheetId="7" hidden="1">CPS.Thermostat.Physical!$A$4:$E$110</definedName>
    <definedName name="_xlnm._FilterDatabase" localSheetId="4" hidden="1">Interactions.WiFiMsgng!$A$4:$E$110</definedName>
    <definedName name="_xlnm._FilterDatabase" localSheetId="3" hidden="1">UseCase.Scenario.Automatic!$A$4:$E$110</definedName>
    <definedName name="_xlnm._FilterDatabase" localSheetId="2" hidden="1">UseCase.Scenario.Cooling!$A$4:$E$110</definedName>
    <definedName name="_xlnm._FilterDatabase" localSheetId="1" hidden="1">UseCase.Scenario.Heating!$A$4:$E$110</definedName>
    <definedName name="BranchNames" localSheetId="5">BusinessObjects.Thermostat!$E$5:$E$110</definedName>
    <definedName name="BranchNames" localSheetId="6">CPS.Thermostat!$E$5:$E$110</definedName>
    <definedName name="BranchNames" localSheetId="8">CPS.Thermostat.Cyber!$E$5:$E$110</definedName>
    <definedName name="BranchNames" localSheetId="7">CPS.Thermostat.Physical!$E$5:$E$110</definedName>
    <definedName name="BranchNames" localSheetId="4">Interactions.WiFiMsgng!$E$5:$E$110</definedName>
    <definedName name="BranchNames" localSheetId="3">UseCase.Scenario.Automatic!$E$5:$E$110</definedName>
    <definedName name="BranchNames" localSheetId="2">UseCase.Scenario.Cooling!$E$5:$E$110</definedName>
    <definedName name="BranchNames" localSheetId="1">UseCase.Scenario.Heating!$E$5:$E$110</definedName>
    <definedName name="BranchNames">BusinessCase!$E$5:$E$110</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110" i="29" l="1"/>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C6" i="29"/>
  <c r="C5" i="29"/>
  <c r="A1" i="29"/>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C6" i="28"/>
  <c r="C5" i="28"/>
  <c r="A1" i="28"/>
  <c r="C110" i="27"/>
  <c r="C109" i="27"/>
  <c r="C108" i="27"/>
  <c r="C107" i="27"/>
  <c r="C106" i="27"/>
  <c r="C105" i="27"/>
  <c r="C104" i="27"/>
  <c r="C103" i="27"/>
  <c r="C102" i="27"/>
  <c r="C101" i="27"/>
  <c r="C100" i="27"/>
  <c r="C99" i="27"/>
  <c r="C98" i="27"/>
  <c r="C97" i="27"/>
  <c r="C96" i="27"/>
  <c r="C95" i="27"/>
  <c r="C94" i="27"/>
  <c r="C93" i="27"/>
  <c r="C92" i="27"/>
  <c r="C91" i="27"/>
  <c r="C90" i="27"/>
  <c r="C89" i="27"/>
  <c r="C88" i="27"/>
  <c r="C87" i="27"/>
  <c r="C86" i="27"/>
  <c r="C85" i="27"/>
  <c r="C84" i="27"/>
  <c r="C83" i="27"/>
  <c r="C82" i="27"/>
  <c r="C81"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C6" i="27"/>
  <c r="C5" i="27"/>
  <c r="A1" i="27"/>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C6" i="26"/>
  <c r="C5" i="26"/>
  <c r="A1" i="26"/>
  <c r="C110" i="25"/>
  <c r="C109" i="25"/>
  <c r="C108" i="25"/>
  <c r="C107" i="25"/>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C6" i="25"/>
  <c r="C5" i="25"/>
  <c r="A1" i="25"/>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C6" i="24"/>
  <c r="C5" i="24"/>
  <c r="A1" i="24"/>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A1" i="23"/>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C6" i="22"/>
  <c r="C5" i="22"/>
  <c r="A1" i="22"/>
  <c r="C95" i="21"/>
  <c r="C28" i="21"/>
  <c r="A1" i="21"/>
  <c r="C72" i="21"/>
  <c r="C68" i="21"/>
  <c r="C69" i="21"/>
  <c r="C70" i="21"/>
  <c r="C71" i="21"/>
  <c r="C41" i="21"/>
  <c r="C29" i="21"/>
  <c r="C30" i="21"/>
  <c r="C31" i="21"/>
  <c r="C27" i="21"/>
  <c r="C51" i="21"/>
  <c r="C52" i="21"/>
  <c r="C53" i="21"/>
  <c r="C54" i="21"/>
  <c r="C55" i="21"/>
  <c r="C64" i="21"/>
  <c r="C65" i="21"/>
  <c r="C66" i="21"/>
  <c r="C67" i="21"/>
  <c r="C73" i="21"/>
  <c r="C74" i="21"/>
  <c r="C75" i="21"/>
  <c r="C76" i="21"/>
  <c r="C77" i="21"/>
  <c r="C78" i="21"/>
  <c r="C79" i="21"/>
  <c r="C80" i="21"/>
  <c r="C81" i="21"/>
  <c r="C82" i="21"/>
  <c r="C83" i="21"/>
  <c r="C84" i="21"/>
  <c r="C85" i="21"/>
  <c r="C86" i="21"/>
  <c r="C87" i="21"/>
  <c r="C88" i="21"/>
  <c r="C89" i="21"/>
  <c r="C90" i="21"/>
  <c r="C91" i="21"/>
  <c r="C92" i="21"/>
  <c r="C8" i="21"/>
  <c r="C9" i="21"/>
  <c r="C10" i="21"/>
  <c r="C11" i="21"/>
  <c r="C12" i="21"/>
  <c r="C13" i="21"/>
  <c r="C14" i="21"/>
  <c r="C15" i="21"/>
  <c r="C16" i="21"/>
  <c r="C17" i="21"/>
  <c r="C18" i="21"/>
  <c r="C19" i="21"/>
  <c r="C20" i="21"/>
  <c r="C21" i="21"/>
  <c r="C22" i="21"/>
  <c r="C23" i="21"/>
  <c r="C24" i="21"/>
  <c r="C25" i="21"/>
  <c r="C26" i="21"/>
  <c r="C110" i="21"/>
  <c r="C109" i="21"/>
  <c r="C108" i="21"/>
  <c r="C107" i="21"/>
  <c r="C106" i="21"/>
  <c r="C105" i="21"/>
  <c r="C104" i="21"/>
  <c r="C103" i="21"/>
  <c r="C102" i="21"/>
  <c r="C101" i="21"/>
  <c r="C100" i="21"/>
  <c r="C99" i="21"/>
  <c r="C98" i="21"/>
  <c r="C97" i="21"/>
  <c r="C96" i="21"/>
  <c r="C94" i="21"/>
  <c r="C93" i="21"/>
  <c r="C63" i="21"/>
  <c r="C62" i="21"/>
  <c r="C61" i="21"/>
  <c r="C60" i="21"/>
  <c r="C59" i="21"/>
  <c r="C58" i="21"/>
  <c r="C57" i="21"/>
  <c r="C56" i="21"/>
  <c r="C50" i="21"/>
  <c r="C49" i="21"/>
  <c r="C48" i="21"/>
  <c r="C47" i="21"/>
  <c r="C46" i="21"/>
  <c r="C45" i="21"/>
  <c r="C44" i="21"/>
  <c r="C43" i="21"/>
  <c r="C42" i="21"/>
  <c r="C40" i="21"/>
  <c r="C39" i="21"/>
  <c r="C38" i="21"/>
  <c r="C37" i="21"/>
  <c r="C36" i="21"/>
  <c r="C35" i="21"/>
  <c r="C34" i="21"/>
  <c r="C33" i="21"/>
  <c r="C32" i="21"/>
  <c r="C7" i="21"/>
  <c r="C5" i="21"/>
  <c r="C6" i="21"/>
</calcChain>
</file>

<file path=xl/sharedStrings.xml><?xml version="1.0" encoding="utf-8"?>
<sst xmlns="http://schemas.openxmlformats.org/spreadsheetml/2006/main" count="2965" uniqueCount="261">
  <si>
    <t>Nest</t>
  </si>
  <si>
    <t>Branch</t>
  </si>
  <si>
    <t>cost</t>
  </si>
  <si>
    <t>Functional</t>
  </si>
  <si>
    <t>Business</t>
  </si>
  <si>
    <t>Human</t>
  </si>
  <si>
    <t>Trustworthiness</t>
  </si>
  <si>
    <t>Timing</t>
  </si>
  <si>
    <t>Data</t>
  </si>
  <si>
    <t>Boundaries</t>
  </si>
  <si>
    <t>Composition</t>
  </si>
  <si>
    <t>Lifecycle</t>
  </si>
  <si>
    <t>actuation</t>
  </si>
  <si>
    <t>Concerns related to the ability of the CPS to effect change in the physical world.</t>
  </si>
  <si>
    <t>communication</t>
  </si>
  <si>
    <t>Concerns related to the exchange of information internal to the CPS and between the CPS and other entities.</t>
  </si>
  <si>
    <t>controllability</t>
  </si>
  <si>
    <t>Ability of a CPS to control a property of a physical thing. There are many challenges to implementing control systems with CPS including the non-determinism of cyber systems, the uncertainty of location, time and observations or actions, their reliability and security, and complexity. Concerns related to the ability to modify a CPS or its function, if necessary.</t>
  </si>
  <si>
    <t>functionality</t>
  </si>
  <si>
    <t>Concerns related to the function that a CPS provides.</t>
  </si>
  <si>
    <t>measurability</t>
  </si>
  <si>
    <t>Concerns related to the ability to measure the characteristics of the CPS.</t>
  </si>
  <si>
    <t>monitorability</t>
  </si>
  <si>
    <t>Concerns related to the ease and reliability with which authorized entities can gain and maintain awareness of the state of a CPS and its operations. Includes logging and audit functionality.</t>
  </si>
  <si>
    <t>performance</t>
  </si>
  <si>
    <t>Concerns related to the ability of a CPS to meet required operational targets.</t>
  </si>
  <si>
    <t>physical</t>
  </si>
  <si>
    <t>Concerns about purely physical properties of CPS including seals, locks, safety, and EMI.</t>
  </si>
  <si>
    <t>physical context</t>
  </si>
  <si>
    <t>Concerns relating to the need to understand a specific observation or a desired action relative to its physical position (and uncertainty.) While this information is often implied and not explicit in traditional physical systems, the distributed, mobile nature of CPS makes this a critical concern.</t>
  </si>
  <si>
    <t>sensing</t>
  </si>
  <si>
    <t>Concerns related to the ability of a CPS to develop the situational awareness required to perform to its function.</t>
  </si>
  <si>
    <t>uncertainty</t>
  </si>
  <si>
    <t>Managing the effects of uncertainties is a fundamental challenge in CPS. Sources of uncertainty in CPS can be grouped into statistical (aleatoric), lack of knowledge (epistemic) uncertainty, or systematic uncertainty. In CPS statistical uncertainty is caused by randomness of accuracy of sensing and actuation, often caused by uncertainty of manufacturing processes. Systematic uncertainty is caused by incomplete knowledge either due to limits of acquired knowledge or due to simplification in modeling. Typical manifestations of epistemic uncertainty are limited validity of models of physical processes or limits of computability of properties of mathematical models.</t>
  </si>
  <si>
    <t>enterprise</t>
  </si>
  <si>
    <t>Concerns related to the economic aspects of CPS throughout their lifecycle.</t>
  </si>
  <si>
    <t xml:space="preserve">Concerns related to the direct and indirect investment or monetary flow or other resources required by the CPS throughout its lifecycle. </t>
  </si>
  <si>
    <t>environment</t>
  </si>
  <si>
    <t>policy</t>
  </si>
  <si>
    <t>Concerns related to the impacts of treaties, statutes, and doctrines on a CPS throughout its lifecycle.</t>
  </si>
  <si>
    <t>quality</t>
  </si>
  <si>
    <t>Concerns related to the ease and reliability of assessing whether a CPS meets stakeholder (especially customer) expectations.</t>
  </si>
  <si>
    <t>regulatory</t>
  </si>
  <si>
    <t>Concerns related to regulatory requirements and certifications.</t>
  </si>
  <si>
    <t>time to market</t>
  </si>
  <si>
    <t>Concerns related to the time period required to bring a CPS from need realization through deployment.</t>
  </si>
  <si>
    <t>utility</t>
  </si>
  <si>
    <t>Concerns related to the ability of a CPS to provide benefit or satisfaction through its operation. Utility reflects a business concern, especially when considered as the numerator when computing value, which equals utility divided by costs.</t>
  </si>
  <si>
    <t>human factors</t>
  </si>
  <si>
    <t>Concern about the characteristics of CPS with respect to how they are used by humans.</t>
  </si>
  <si>
    <t>usability</t>
  </si>
  <si>
    <t>Concerns related to the ability of CPS to be used to achieve its functional objectives effectively, efficiently, and to the satisfaction of users (adapted from ISO 9241-210.) The combination of physical and cyber into complex systems creates challenges in meeting usability goals. Complexity is a major issue. The diversity of interfaces creates a significant learning curve for human interaction.</t>
  </si>
  <si>
    <t>privacy</t>
  </si>
  <si>
    <t>Concerns related to the ability of the CPS to prevent entities (people, machines) from gaining access to data stored in, created by, or transiting a CPS or its components such that individuals or groups cannot seclude themselves or information about themselves from others. Privacy is a condition that results from the establishment and maintenance of a collection of methods to support the mitigation of risks to individuals arising from the processing of their personal information within or among systems or through the manipulation of physical environments.</t>
  </si>
  <si>
    <t>reliability</t>
  </si>
  <si>
    <t>Concerns related to the ability of the CPS to deliver stable and predictable performance in expected conditions.</t>
  </si>
  <si>
    <t>resilience</t>
  </si>
  <si>
    <t>Concerns related to the ability of the CPS to withstand instability, unexpected conditions, and gracefully return to predictable, but possibly degraded, performance.</t>
  </si>
  <si>
    <t>safety</t>
  </si>
  <si>
    <t>Concerns related to the ability of the CPS to ensure the absence of catastrophic consequences on the life, health, property, or data of CPS stakeholders and the physical environment.</t>
  </si>
  <si>
    <t>security</t>
  </si>
  <si>
    <t>logical time</t>
  </si>
  <si>
    <t xml:space="preserve">Concerns related to the order in which things happen (causal order relation). </t>
  </si>
  <si>
    <t>managing timing and latency</t>
  </si>
  <si>
    <t xml:space="preserve">Control and measurement applications in CPS generally require specific management of timing and latency. General important concerns for managing timing and latency include the coordination of timing domains and multiple timing references; latency management and control, including scheduling of network timing guarantees; and the mixing of time-sensitive and best-effort data in both networks and CPS nodes. </t>
  </si>
  <si>
    <t>synchronization</t>
  </si>
  <si>
    <t xml:space="preserve">Synchronization implies that all associated nodes have access to the same reference timing signals. There are three kinds of synchronization: time, phase, and frequency synchronization, although frequency synchronization is also called syntonization. </t>
  </si>
  <si>
    <t>time awareness</t>
  </si>
  <si>
    <t>Concerns that allow time correctness by design. The presence or absence of explicit time in the models used to describe, analyze, and design CPS and in the actual operation of the components.</t>
  </si>
  <si>
    <t>time-interval and latency control</t>
  </si>
  <si>
    <t xml:space="preserve">A time-interval is the duration between two instants read on the same timescale. CPS timing requirements are generally expressed as constraints on the time intervals (TI) between pairs of system significant events. There can be more general constraints on TIs that can be categorized based on their degree of time awareness in terms of bounded TIs or latency, deterministic TIs, and accurate TIs. </t>
  </si>
  <si>
    <t>data semantics</t>
  </si>
  <si>
    <t xml:space="preserve">Concerns related to the agreed and shared meaning(s) of data held within, generated by, and transiting a system. </t>
  </si>
  <si>
    <t>identity</t>
  </si>
  <si>
    <t xml:space="preserve">Concerns related to the ability to accurately recognize entities (people, machines, and data) when interacting with or being leveraged by a CPS. </t>
  </si>
  <si>
    <t>operations on data</t>
  </si>
  <si>
    <t>Concerns related to the ability to create/read/update/delete system data and how the integrity of CPS data and behaviors may be affected.</t>
  </si>
  <si>
    <t>relationship between data</t>
  </si>
  <si>
    <t>Concerns related to how and why sets of data must, may, or may not be associated with each other and the value or harm that can be derived from those associations.</t>
  </si>
  <si>
    <t>behavioral</t>
  </si>
  <si>
    <t>Concerns related to interdependence among behavioral domains. Concerns related to the ability to successfully operate a CPS in multiple application areas.</t>
  </si>
  <si>
    <t>networkability</t>
  </si>
  <si>
    <t>Concerns related to the ease and reliability with which a CPS can be incorporated within a (new or existing) network of other systems.</t>
  </si>
  <si>
    <t>responsibility</t>
  </si>
  <si>
    <t>Concerns related to the ability to identify the entity or entities authorized to control the operation of a CPS.</t>
  </si>
  <si>
    <t>adaptability</t>
  </si>
  <si>
    <t>Concerns related to the ability of the CPS to achieve an intended purpose in the face of changing external conditions such as the need to upgrade or otherwise reconfigure a CPS to meet new conditions, needs, or objectives.</t>
  </si>
  <si>
    <t>complexity</t>
  </si>
  <si>
    <t>Concerns related to our understanding of the behavior of CPS due to the richness and heterogeneity of interactions among its components, such as existence of legacy and the variety of interfaces.</t>
  </si>
  <si>
    <t>constructivity</t>
  </si>
  <si>
    <t>Concerns related to the ability to combine CPS modular components (hardware, software, and data) to satisfy user requirements.</t>
  </si>
  <si>
    <t>discoverability</t>
  </si>
  <si>
    <t>Concerns related to the ease and reliability with which a CPS component can be observed and understood (for purposes of leveraging the component’s functionality) by an entity (human, machines). Concerns related to the ease and reliability with which a CPS component’s functions can be ascertained (for purposes of leveraging that functionality) by an entity (human, machines).</t>
  </si>
  <si>
    <t>deployability</t>
  </si>
  <si>
    <t>Concerns related to the ease and reliability with which a CPS can be brought into productive use.</t>
  </si>
  <si>
    <t>disposability</t>
  </si>
  <si>
    <t>Concerns related to the impacts that may occur when the CPS is taken physically out of service.</t>
  </si>
  <si>
    <t>engineerability</t>
  </si>
  <si>
    <t>Concerns related to the ease and reliability with which a CPS design concept can successfully be realized via a structured engineering process.</t>
  </si>
  <si>
    <t>maintainability</t>
  </si>
  <si>
    <t>Concerns related to the ease and reliability with which the CPS can be kept in working order.</t>
  </si>
  <si>
    <t>operatability</t>
  </si>
  <si>
    <t>Concerns related to the operation of the CPS when deployed.</t>
  </si>
  <si>
    <t>procureability</t>
  </si>
  <si>
    <t>Concerns related to the ease and reliability with which a CPS can be obtained.</t>
  </si>
  <si>
    <t>producibility</t>
  </si>
  <si>
    <t xml:space="preserve">Concerns related to the ease and reliability with which a CPS design can be successfully manufactured. </t>
  </si>
  <si>
    <t>confidentiality</t>
  </si>
  <si>
    <t>cybersecurity</t>
  </si>
  <si>
    <t>physicalsecurity</t>
  </si>
  <si>
    <t>integrity</t>
  </si>
  <si>
    <t>availability</t>
  </si>
  <si>
    <t xml:space="preserve">Preserving authorized restrictions on access and disclosure. </t>
  </si>
  <si>
    <t xml:space="preserve">Concerns related to the ability of the CPS to ensure that all of its processes, mechanisms, physical and data, and services are afforded internal or external protection from unintended and unauthorized access, change, damage, destruction, or use. 
Confidentiality: 
Integrity: 
Availability:  </t>
  </si>
  <si>
    <t>Ensuring timely and reliable access to and use of a system.</t>
  </si>
  <si>
    <t>Concerns about function including sensing, actuation, control, communications, physicality, etc.</t>
  </si>
  <si>
    <t>Concerns about enterprise, time to market, environment, regulation, cost, etc.</t>
  </si>
  <si>
    <t>Concerns about human interaction with and as part of a CPS.</t>
  </si>
  <si>
    <t>Concerns about trustworthiness of CPS including cybersecurity, privacy, safety, reliability, and resilience.</t>
  </si>
  <si>
    <t>Concerns about time and frequency in CPS, including the generation and transport of time and frequency signals, timestamping, managing latency, timing composability, etc.</t>
  </si>
  <si>
    <t>Concerns about data interoperability including fusion, metadata, type, identity, etc.</t>
  </si>
  <si>
    <t>Concerns related to demarcations of topological, functional, organizational, or other forms of interactions.</t>
  </si>
  <si>
    <t>Concerns related to the ability to compute selected properties of a component assembly from the properties of its components. Compositionality requires components that are composable: they do not change their properties in an assembly. Timing composability is particularly difficult.</t>
  </si>
  <si>
    <t>Concerns about the lifecycle of CPS including its components.</t>
  </si>
  <si>
    <t>CPS Framework: Aspects and Concerns</t>
  </si>
  <si>
    <t>fusion</t>
  </si>
  <si>
    <t>velocity</t>
  </si>
  <si>
    <t>Concerns related to the fusion and aggregation of data.</t>
  </si>
  <si>
    <t>Concerns related to the volume and storage of data.</t>
  </si>
  <si>
    <t>Concerns related to the velocity of data.</t>
  </si>
  <si>
    <t>analytics</t>
  </si>
  <si>
    <t>storage</t>
  </si>
  <si>
    <t>aggregation/disaggregation</t>
  </si>
  <si>
    <t>transformation</t>
  </si>
  <si>
    <t>data models</t>
  </si>
  <si>
    <t>granularity</t>
  </si>
  <si>
    <t>meaning</t>
  </si>
  <si>
    <t>authentication</t>
  </si>
  <si>
    <t>authorization</t>
  </si>
  <si>
    <t>verification</t>
  </si>
  <si>
    <t>provenance</t>
  </si>
  <si>
    <t>Structure of data/information</t>
  </si>
  <si>
    <t>time of data</t>
  </si>
  <si>
    <t>related data (including metadata)</t>
  </si>
  <si>
    <t>location of data</t>
  </si>
  <si>
    <t>inheritance</t>
  </si>
  <si>
    <t>polymorphism</t>
  </si>
  <si>
    <t>directional/non-directional relationships between data</t>
  </si>
  <si>
    <t>Granularity of data</t>
  </si>
  <si>
    <t>semantic meaning of data elements</t>
  </si>
  <si>
    <t>identificatio of data</t>
  </si>
  <si>
    <t>authenticity of data</t>
  </si>
  <si>
    <t>authorizations constraining access to data</t>
  </si>
  <si>
    <t>verification of the identity of data</t>
  </si>
  <si>
    <t>integrity of the data elements</t>
  </si>
  <si>
    <t>management of the configuration of data producing entities</t>
  </si>
  <si>
    <t>provenance of the source of data</t>
  </si>
  <si>
    <t>transformation of data from one form/semantic to another</t>
  </si>
  <si>
    <t>aggregation of data to form summaries or collections from multiple source</t>
  </si>
  <si>
    <t>time stamping of data through its life cycle</t>
  </si>
  <si>
    <t>metadata and other related data</t>
  </si>
  <si>
    <t>inheritance relationships of data</t>
  </si>
  <si>
    <t>polymorphism of data</t>
  </si>
  <si>
    <t>directionality of relationships</t>
  </si>
  <si>
    <t>associated quality metrics of data</t>
  </si>
  <si>
    <t>Concern</t>
  </si>
  <si>
    <t>Syntactic Interoperability</t>
  </si>
  <si>
    <t>GWAC-Syntactic Interoperability(3)</t>
  </si>
  <si>
    <t>OSI-Application</t>
  </si>
  <si>
    <t>OSI-Application(7)</t>
  </si>
  <si>
    <t>OSI-Presentation</t>
  </si>
  <si>
    <t>OSI-Presentation(6)</t>
  </si>
  <si>
    <t>Network Interoperability</t>
  </si>
  <si>
    <t>GWAC-Network Interoperability(2)</t>
  </si>
  <si>
    <t>OSI-Session</t>
  </si>
  <si>
    <t>OSI-Session(5)</t>
  </si>
  <si>
    <t>OSI-Transport</t>
  </si>
  <si>
    <t>OSI-Transport(4)</t>
  </si>
  <si>
    <t>OSI-Network</t>
  </si>
  <si>
    <t>OSI-Network(3)</t>
  </si>
  <si>
    <t>Basic Connectivity</t>
  </si>
  <si>
    <t>GWAC-Basic Connectivity(1)</t>
  </si>
  <si>
    <t>OSI-Data Link</t>
  </si>
  <si>
    <t>OSI-Data Link(2)</t>
  </si>
  <si>
    <t>OSI-Physical</t>
  </si>
  <si>
    <t>OSI-Physical(1)</t>
  </si>
  <si>
    <t>Source</t>
  </si>
  <si>
    <t>CPSFramework</t>
  </si>
  <si>
    <t>statesAndModes</t>
  </si>
  <si>
    <t>GWAC - Transaction &amp; State Mgt(CC)</t>
  </si>
  <si>
    <t>FCAPS - Configuration Management, 
FCAPS - Administration Management,
NISTIR SG.CM</t>
  </si>
  <si>
    <t>NISTIR SG.CM-7</t>
  </si>
  <si>
    <t>Component Inventory</t>
  </si>
  <si>
    <t>NISTIR SG.CM-8</t>
  </si>
  <si>
    <t>configurationManagement</t>
  </si>
  <si>
    <t>configurationForLeastFFunctionality</t>
  </si>
  <si>
    <t>Planning</t>
  </si>
  <si>
    <t>Concerns related to the impacts of the engineering and operation of a CPS on the physical world.</t>
  </si>
  <si>
    <t>GWAC-Resource Identification(CC)</t>
  </si>
  <si>
    <t>NISTIR SG.IA-4</t>
  </si>
  <si>
    <t>NISTIR SG.IA-5</t>
  </si>
  <si>
    <t>TBD</t>
  </si>
  <si>
    <t>Concerns about the presentation and exchange patterns of data</t>
  </si>
  <si>
    <t>Concerns about application layer exchange patterns</t>
  </si>
  <si>
    <t>Concerns about the syntax of message encoding</t>
  </si>
  <si>
    <t>Concerns about networked message exchange</t>
  </si>
  <si>
    <t>Concerns about information transport</t>
  </si>
  <si>
    <t>Concerns about networked exchange</t>
  </si>
  <si>
    <t>Concerns about connectivity of CPSDevices</t>
  </si>
  <si>
    <t>Concerns about data links</t>
  </si>
  <si>
    <t>Concerns about physical communication links</t>
  </si>
  <si>
    <t>Concerns about planning.</t>
  </si>
  <si>
    <t>Concerns about minimizing the configuration needed.</t>
  </si>
  <si>
    <t>Concerns about component inventory and versioning.</t>
  </si>
  <si>
    <t>Concerns about physical security.</t>
  </si>
  <si>
    <t>Guarding against improper modification or destruction of system, and includes ensuring non-repudiation and authenticity.</t>
  </si>
  <si>
    <t>resourceIdentification</t>
  </si>
  <si>
    <t>userIdentification</t>
  </si>
  <si>
    <t>deviceIdentification</t>
  </si>
  <si>
    <t>objectIdentification</t>
  </si>
  <si>
    <t>classIdentification</t>
  </si>
  <si>
    <t>configuration</t>
  </si>
  <si>
    <t>manageability</t>
  </si>
  <si>
    <t>Concerns about managing a CPS through its life cycle.</t>
  </si>
  <si>
    <t>Concerns about states and modes of a CPS.</t>
  </si>
  <si>
    <t>Aspect/Concern</t>
  </si>
  <si>
    <t>Concerns about session creation, maintenance, and tear-down</t>
  </si>
  <si>
    <t>configuration management is a key functional concern with dimensions of configuration, versioning, …</t>
  </si>
  <si>
    <t>Concerns about cybersecurity.</t>
  </si>
  <si>
    <t>Concerns about identification of data representing users.</t>
  </si>
  <si>
    <t>Concerns about identification of data representing devices</t>
  </si>
  <si>
    <t>Concerns about identification of data representing objects</t>
  </si>
  <si>
    <t>Concerns about identification of data representing classes</t>
  </si>
  <si>
    <t>reference</t>
  </si>
  <si>
    <t>description</t>
  </si>
  <si>
    <t>statement</t>
  </si>
  <si>
    <t>trace</t>
  </si>
  <si>
    <t>priority</t>
  </si>
  <si>
    <t>Aspect Analysis</t>
  </si>
  <si>
    <t>Smart Thermostat shall be safe. (no unacceptable risk)</t>
  </si>
  <si>
    <t>Smart Thermostat shall be secure (no unautherized acces or modification)</t>
  </si>
  <si>
    <t>Smart Thermostat shall be reliable (no unacceptable variation in function)</t>
  </si>
  <si>
    <t>Smart Thermostat shall be privacy protecting</t>
  </si>
  <si>
    <t>The Smart Thermostat shall be easily useable (displays, user inputs, etc.)</t>
  </si>
  <si>
    <t>Smart Thermostat shall be upgradeable ('accept reasonable enhancements after sale')</t>
  </si>
  <si>
    <t>Smart Thermostat shall have a retail cost not more than $79.</t>
  </si>
  <si>
    <t>(Human Factors Standard as reference)</t>
  </si>
  <si>
    <t>UL Approved</t>
  </si>
  <si>
    <t>Smart Thermostat shall communicate with sensor and HVAC using WiFi</t>
  </si>
  <si>
    <t>Smart Thermostat shall be able to actuate heating, cooling and automatic functions</t>
  </si>
  <si>
    <t>Smart Thermostat shall be able to contol HVAC</t>
  </si>
  <si>
    <t>Smart Thermostat shall be able to maintain room temperature near user set point</t>
  </si>
  <si>
    <t>Smart Thermostat shall be able to measure room temperature</t>
  </si>
  <si>
    <t>Smart Thermostat shall communicate it state (mode, temperature)</t>
  </si>
  <si>
    <t>(need operational targets)</t>
  </si>
  <si>
    <t>Smart Thermostat shall have a reasonable "variation" that doesn't lead to system damage (?)</t>
  </si>
  <si>
    <t>Smart Thermostat shall be aware of room temperature</t>
  </si>
  <si>
    <t>(look at commercial spec and what it says about uncertainty)</t>
  </si>
  <si>
    <t>Smart Thermostat shall have modes required to achieve its function.</t>
  </si>
  <si>
    <t>Smart Thermostat shall be able to be deployed and serviced as needed.</t>
  </si>
  <si>
    <t>WiFi messageing shall be secure (AES, DES, etc.)</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</si>
</sst>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rgb="FF9C6500"/>
      <name val="Calibri"/>
      <family val="2"/>
      <scheme val="minor"/>
    </font>
    <font>
      <b/>
      <sz val="11"/>
      <color rgb="FF9C6500"/>
      <name val="Calibri"/>
      <family val="2"/>
      <scheme val="minor"/>
    </font>
    <font>
      <sz val="11"/>
      <color rgb="FF006100"/>
      <name val="Calibri"/>
      <family val="2"/>
      <scheme val="minor"/>
    </font>
    <font>
      <b/>
      <sz val="26"/>
      <color theme="1"/>
      <name val="Calibri"/>
      <family val="2"/>
      <scheme val="minor"/>
    </font>
    <font>
      <b/>
      <sz val="18"/>
      <color rgb="FF9C6500"/>
      <name val="Calibri"/>
      <family val="2"/>
      <scheme val="minor"/>
    </font>
    <font>
      <sz val="18"/>
      <color theme="1"/>
      <name val="Calibri"/>
      <family val="2"/>
      <scheme val="minor"/>
    </font>
  </fonts>
  <fills count="7">
    <fill>
      <patternFill patternType="none"/>
    </fill>
    <fill>
      <patternFill patternType="gray125"/>
    </fill>
    <fill>
      <patternFill patternType="solid">
        <fgColor rgb="FFFFEB9C"/>
      </patternFill>
    </fill>
    <fill>
      <patternFill patternType="solid">
        <fgColor rgb="FFC6EFCE"/>
      </patternFill>
    </fill>
    <fill>
      <patternFill patternType="solid">
        <fgColor rgb="FFFFF7D5"/>
        <bgColor indexed="64"/>
      </patternFill>
    </fill>
    <fill>
      <patternFill patternType="solid">
        <fgColor rgb="FFFFFCEF"/>
        <bgColor indexed="64"/>
      </patternFill>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1" fillId="2" borderId="1" applyNumberFormat="0" applyAlignment="0" applyProtection="0"/>
    <xf numFmtId="0" fontId="2" fillId="2" borderId="1" applyAlignment="0" applyProtection="0"/>
    <xf numFmtId="2" fontId="3" fillId="3" borderId="1" applyNumberFormat="0" applyProtection="0"/>
    <xf numFmtId="0" fontId="2" fillId="4" borderId="1" applyAlignment="0" applyProtection="0"/>
    <xf numFmtId="0" fontId="2" fillId="5" borderId="1">
      <alignment vertical="center" wrapText="1"/>
    </xf>
  </cellStyleXfs>
  <cellXfs count="16">
    <xf numFmtId="0" fontId="0" fillId="0" borderId="0" xfId="0"/>
    <xf numFmtId="0" fontId="5" fillId="2" borderId="1" xfId="2" applyFont="1" applyAlignment="1">
      <alignment horizontal="center" vertical="top"/>
    </xf>
    <xf numFmtId="0" fontId="6" fillId="0" borderId="0" xfId="0" applyFont="1" applyAlignment="1">
      <alignment horizontal="center" vertical="top"/>
    </xf>
    <xf numFmtId="0" fontId="0" fillId="0" borderId="0" xfId="0" applyAlignment="1">
      <alignment vertical="top"/>
    </xf>
    <xf numFmtId="0" fontId="4" fillId="0" borderId="0" xfId="0" applyFont="1" applyAlignment="1">
      <alignment horizontal="center" vertical="top"/>
    </xf>
    <xf numFmtId="0" fontId="2" fillId="2" borderId="1" xfId="2" applyAlignment="1">
      <alignment vertical="top"/>
    </xf>
    <xf numFmtId="0" fontId="2" fillId="2" borderId="1" xfId="2" applyAlignment="1">
      <alignment vertical="top" wrapText="1"/>
    </xf>
    <xf numFmtId="0" fontId="2" fillId="5" borderId="1" xfId="5">
      <alignment vertical="center" wrapText="1"/>
    </xf>
    <xf numFmtId="22" fontId="0" fillId="0" borderId="0" xfId="0" applyNumberFormat="1" applyAlignment="1">
      <alignment vertical="top"/>
    </xf>
    <xf numFmtId="0" fontId="3" fillId="3" borderId="1" xfId="3" applyNumberFormat="1"/>
    <xf numFmtId="0" fontId="0" fillId="0" borderId="0" xfId="0" applyAlignment="1">
      <alignment vertical="top" wrapText="1"/>
    </xf>
    <xf numFmtId="0" fontId="3" fillId="3" borderId="1" xfId="3" applyNumberFormat="1" applyAlignment="1">
      <alignment wrapText="1"/>
    </xf>
    <xf numFmtId="0" fontId="6" fillId="0" borderId="0" xfId="0" applyFont="1" applyAlignment="1">
      <alignment horizontal="center" vertical="top" wrapText="1"/>
    </xf>
    <xf numFmtId="0" fontId="2" fillId="6" borderId="1" xfId="5" applyFill="1">
      <alignment vertical="center" wrapText="1"/>
    </xf>
    <xf numFmtId="0" fontId="0" fillId="6" borderId="0" xfId="0" applyFill="1" applyAlignment="1">
      <alignment vertical="top" wrapText="1"/>
    </xf>
    <xf numFmtId="0" fontId="0" fillId="6" borderId="0" xfId="0" applyFill="1" applyAlignment="1">
      <alignment vertical="top"/>
    </xf>
  </cellXfs>
  <cellStyles count="6">
    <cellStyle name="Branch" xfId="2"/>
    <cellStyle name="Leaf" xfId="3"/>
    <cellStyle name="Neutral" xfId="1" builtinId="28" customBuiltin="1"/>
    <cellStyle name="Normal" xfId="0" builtinId="0"/>
    <cellStyle name="SubBranch" xfId="4"/>
    <cellStyle name="SubsubBranch" xfId="5"/>
  </cellStyles>
  <dxfs count="0"/>
  <tableStyles count="0" defaultTableStyle="TableStyleMedium9" defaultPivotStyle="PivotStyleLight16"/>
  <colors>
    <mruColors>
      <color rgb="FFFFFCEF"/>
      <color rgb="FFFFF7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enableFormatConditionsCalculation="0"/>
  <dimension ref="A1:J110"/>
  <sheetViews>
    <sheetView tabSelected="1" zoomScale="85" zoomScaleNormal="85" zoomScalePageLayoutView="85" workbookViewId="0">
      <pane ySplit="4" topLeftCell="A5" activePane="bottomLeft" state="frozen"/>
      <selection activeCell="G29" sqref="G29"/>
      <selection pane="bottomLeft" activeCell="G32" sqref="G32"/>
    </sheetView>
  </sheetViews>
  <sheetFormatPr baseColWidth="10" defaultColWidth="8.83203125" defaultRowHeight="15" x14ac:dyDescent="0.2"/>
  <cols>
    <col min="1" max="1" width="15.33203125" style="3" customWidth="1"/>
    <col min="2" max="2" width="15.33203125" style="3" hidden="1" customWidth="1"/>
    <col min="3" max="3" width="40.5" style="3" customWidth="1"/>
    <col min="4" max="4" width="40.5" style="3" hidden="1" customWidth="1"/>
    <col min="5" max="5" width="105.83203125" style="3" customWidth="1"/>
    <col min="6" max="6" width="50.33203125" style="10" customWidth="1"/>
    <col min="7" max="7" width="50.33203125" style="3" customWidth="1"/>
    <col min="8" max="8" width="12.6640625" style="3" customWidth="1"/>
    <col min="9" max="9" width="35.5" style="3" customWidth="1"/>
    <col min="10" max="10" width="82.1640625" style="3" customWidth="1"/>
    <col min="11" max="16384" width="8.83203125" style="3"/>
  </cols>
  <sheetData>
    <row r="1" spans="1:10" ht="34" x14ac:dyDescent="0.2">
      <c r="A1" s="8">
        <f ca="1">NOW()</f>
        <v>42636.659261111112</v>
      </c>
      <c r="E1" s="4" t="s">
        <v>124</v>
      </c>
    </row>
    <row r="3" spans="1:10" x14ac:dyDescent="0.2">
      <c r="F3" s="11" t="s">
        <v>238</v>
      </c>
      <c r="G3" s="9"/>
      <c r="H3" s="9"/>
      <c r="I3" s="9"/>
      <c r="J3" s="9"/>
    </row>
    <row r="4" spans="1:10" s="2" customFormat="1" ht="24" x14ac:dyDescent="0.2">
      <c r="A4" s="1" t="s">
        <v>0</v>
      </c>
      <c r="B4" s="1" t="s">
        <v>165</v>
      </c>
      <c r="C4" s="1" t="s">
        <v>225</v>
      </c>
      <c r="D4" s="1" t="s">
        <v>186</v>
      </c>
      <c r="E4" s="1" t="s">
        <v>1</v>
      </c>
      <c r="F4" s="12" t="s">
        <v>235</v>
      </c>
      <c r="G4" s="2" t="s">
        <v>236</v>
      </c>
      <c r="H4" s="2" t="s">
        <v>237</v>
      </c>
      <c r="I4" s="2" t="s">
        <v>233</v>
      </c>
      <c r="J4" s="2" t="s">
        <v>234</v>
      </c>
    </row>
    <row r="5" spans="1:10" x14ac:dyDescent="0.2">
      <c r="A5" s="5">
        <v>0</v>
      </c>
      <c r="B5" s="5" t="s">
        <v>3</v>
      </c>
      <c r="C5" s="5" t="str">
        <f>CONCATENATE(REPT("     ",BusinessCase!A5)," ",BusinessCase!B5)</f>
        <v xml:space="preserve"> Functional</v>
      </c>
      <c r="D5" s="5" t="s">
        <v>187</v>
      </c>
      <c r="E5" s="6" t="s">
        <v>115</v>
      </c>
    </row>
    <row r="6" spans="1:10" ht="30" x14ac:dyDescent="0.2">
      <c r="A6" s="7">
        <v>1</v>
      </c>
      <c r="B6" s="7" t="s">
        <v>12</v>
      </c>
      <c r="C6" s="7" t="str">
        <f>CONCATENATE(REPT("     ",BusinessCase!A6)," ",BusinessCase!B6)</f>
        <v xml:space="preserve">      actuation</v>
      </c>
      <c r="D6" s="7" t="s">
        <v>187</v>
      </c>
      <c r="E6" s="7" t="s">
        <v>13</v>
      </c>
      <c r="F6" s="10" t="s">
        <v>249</v>
      </c>
    </row>
    <row r="7" spans="1:10" ht="30" x14ac:dyDescent="0.2">
      <c r="A7" s="7">
        <v>1</v>
      </c>
      <c r="B7" s="7" t="s">
        <v>14</v>
      </c>
      <c r="C7" s="7" t="str">
        <f>CONCATENATE(REPT("     ",BusinessCase!A7)," ",BusinessCase!B7)</f>
        <v xml:space="preserve">      communication</v>
      </c>
      <c r="D7" s="7" t="s">
        <v>187</v>
      </c>
      <c r="E7" s="7" t="s">
        <v>15</v>
      </c>
      <c r="F7" s="10" t="s">
        <v>248</v>
      </c>
    </row>
    <row r="8" spans="1:10" ht="30" hidden="1" x14ac:dyDescent="0.2">
      <c r="A8" s="7">
        <v>2</v>
      </c>
      <c r="B8" s="7" t="s">
        <v>166</v>
      </c>
      <c r="C8" s="7" t="str">
        <f>CONCATENATE(REPT("     ",BusinessCase!A8)," ",BusinessCase!B8)</f>
        <v xml:space="preserve">           Syntactic Interoperability</v>
      </c>
      <c r="D8" s="7" t="s">
        <v>167</v>
      </c>
      <c r="E8" s="7" t="s">
        <v>202</v>
      </c>
      <c r="F8" s="3"/>
    </row>
    <row r="9" spans="1:10" hidden="1" x14ac:dyDescent="0.2">
      <c r="A9" s="7">
        <v>3</v>
      </c>
      <c r="B9" s="7" t="s">
        <v>168</v>
      </c>
      <c r="C9" s="7" t="str">
        <f>CONCATENATE(REPT("     ",BusinessCase!A9)," ",BusinessCase!B9)</f>
        <v xml:space="preserve">                OSI-Application</v>
      </c>
      <c r="D9" s="7" t="s">
        <v>169</v>
      </c>
      <c r="E9" s="7" t="s">
        <v>203</v>
      </c>
      <c r="F9" s="3"/>
    </row>
    <row r="10" spans="1:10" hidden="1" x14ac:dyDescent="0.2">
      <c r="A10" s="7">
        <v>3</v>
      </c>
      <c r="B10" s="7" t="s">
        <v>170</v>
      </c>
      <c r="C10" s="7" t="str">
        <f>CONCATENATE(REPT("     ",BusinessCase!A10)," ",BusinessCase!B10)</f>
        <v xml:space="preserve">                OSI-Presentation</v>
      </c>
      <c r="D10" s="7" t="s">
        <v>171</v>
      </c>
      <c r="E10" s="7" t="s">
        <v>204</v>
      </c>
      <c r="F10" s="3"/>
    </row>
    <row r="11" spans="1:10" ht="30" hidden="1" x14ac:dyDescent="0.2">
      <c r="A11" s="7">
        <v>2</v>
      </c>
      <c r="B11" s="7" t="s">
        <v>172</v>
      </c>
      <c r="C11" s="7" t="str">
        <f>CONCATENATE(REPT("     ",BusinessCase!A11)," ",BusinessCase!B11)</f>
        <v xml:space="preserve">           Network Interoperability</v>
      </c>
      <c r="D11" s="7" t="s">
        <v>173</v>
      </c>
      <c r="E11" s="7" t="s">
        <v>205</v>
      </c>
      <c r="F11" s="3"/>
    </row>
    <row r="12" spans="1:10" hidden="1" x14ac:dyDescent="0.2">
      <c r="A12" s="7">
        <v>3</v>
      </c>
      <c r="B12" s="7" t="s">
        <v>174</v>
      </c>
      <c r="C12" s="7" t="str">
        <f>CONCATENATE(REPT("     ",BusinessCase!A12)," ",BusinessCase!B12)</f>
        <v xml:space="preserve">                OSI-Session</v>
      </c>
      <c r="D12" s="7" t="s">
        <v>175</v>
      </c>
      <c r="E12" s="7" t="s">
        <v>226</v>
      </c>
      <c r="F12" s="3"/>
    </row>
    <row r="13" spans="1:10" hidden="1" x14ac:dyDescent="0.2">
      <c r="A13" s="7">
        <v>3</v>
      </c>
      <c r="B13" s="7" t="s">
        <v>176</v>
      </c>
      <c r="C13" s="7" t="str">
        <f>CONCATENATE(REPT("     ",BusinessCase!A13)," ",BusinessCase!B13)</f>
        <v xml:space="preserve">                OSI-Transport</v>
      </c>
      <c r="D13" s="7" t="s">
        <v>177</v>
      </c>
      <c r="E13" s="7" t="s">
        <v>206</v>
      </c>
      <c r="F13" s="3"/>
    </row>
    <row r="14" spans="1:10" hidden="1" x14ac:dyDescent="0.2">
      <c r="A14" s="7">
        <v>3</v>
      </c>
      <c r="B14" s="7" t="s">
        <v>178</v>
      </c>
      <c r="C14" s="7" t="str">
        <f>CONCATENATE(REPT("     ",BusinessCase!A14)," ",BusinessCase!B14)</f>
        <v xml:space="preserve">                OSI-Network</v>
      </c>
      <c r="D14" s="7" t="s">
        <v>179</v>
      </c>
      <c r="E14" s="7" t="s">
        <v>207</v>
      </c>
      <c r="F14" s="3"/>
    </row>
    <row r="15" spans="1:10" hidden="1" x14ac:dyDescent="0.2">
      <c r="A15" s="7">
        <v>2</v>
      </c>
      <c r="B15" s="7" t="s">
        <v>180</v>
      </c>
      <c r="C15" s="7" t="str">
        <f>CONCATENATE(REPT("     ",BusinessCase!A15)," ",BusinessCase!B15)</f>
        <v xml:space="preserve">           Basic Connectivity</v>
      </c>
      <c r="D15" s="7" t="s">
        <v>181</v>
      </c>
      <c r="E15" s="7" t="s">
        <v>208</v>
      </c>
      <c r="F15" s="3"/>
    </row>
    <row r="16" spans="1:10" hidden="1" x14ac:dyDescent="0.2">
      <c r="A16" s="7">
        <v>3</v>
      </c>
      <c r="B16" s="7" t="s">
        <v>182</v>
      </c>
      <c r="C16" s="7" t="str">
        <f>CONCATENATE(REPT("     ",BusinessCase!A16)," ",BusinessCase!B16)</f>
        <v xml:space="preserve">                OSI-Data Link</v>
      </c>
      <c r="D16" s="7" t="s">
        <v>183</v>
      </c>
      <c r="E16" s="7" t="s">
        <v>209</v>
      </c>
      <c r="F16" s="3"/>
    </row>
    <row r="17" spans="1:6" hidden="1" x14ac:dyDescent="0.2">
      <c r="A17" s="7">
        <v>3</v>
      </c>
      <c r="B17" s="7" t="s">
        <v>184</v>
      </c>
      <c r="C17" s="7" t="str">
        <f>CONCATENATE(REPT("     ",BusinessCase!A17)," ",BusinessCase!B17)</f>
        <v xml:space="preserve">                OSI-Physical</v>
      </c>
      <c r="D17" s="7" t="s">
        <v>185</v>
      </c>
      <c r="E17" s="7" t="s">
        <v>210</v>
      </c>
      <c r="F17" s="3"/>
    </row>
    <row r="18" spans="1:6" ht="45" x14ac:dyDescent="0.2">
      <c r="A18" s="7">
        <v>1</v>
      </c>
      <c r="B18" s="7" t="s">
        <v>16</v>
      </c>
      <c r="C18" s="7" t="str">
        <f>CONCATENATE(REPT("     ",BusinessCase!A18)," ",BusinessCase!B18)</f>
        <v xml:space="preserve">      controllability</v>
      </c>
      <c r="D18" s="7" t="s">
        <v>187</v>
      </c>
      <c r="E18" s="7" t="s">
        <v>17</v>
      </c>
      <c r="F18" s="10" t="s">
        <v>250</v>
      </c>
    </row>
    <row r="19" spans="1:6" ht="30" x14ac:dyDescent="0.2">
      <c r="A19" s="7">
        <v>1</v>
      </c>
      <c r="B19" s="7" t="s">
        <v>18</v>
      </c>
      <c r="C19" s="7" t="str">
        <f>CONCATENATE(REPT("     ",BusinessCase!A19)," ",BusinessCase!B19)</f>
        <v xml:space="preserve">      functionality</v>
      </c>
      <c r="D19" s="7" t="s">
        <v>187</v>
      </c>
      <c r="E19" s="7" t="s">
        <v>19</v>
      </c>
      <c r="F19" s="10" t="s">
        <v>251</v>
      </c>
    </row>
    <row r="20" spans="1:6" x14ac:dyDescent="0.2">
      <c r="A20" s="7">
        <v>1</v>
      </c>
      <c r="B20" s="7" t="s">
        <v>20</v>
      </c>
      <c r="C20" s="7" t="str">
        <f>CONCATENATE(REPT("     ",BusinessCase!A20)," ",BusinessCase!B20)</f>
        <v xml:space="preserve">      measurability</v>
      </c>
      <c r="D20" s="7" t="s">
        <v>187</v>
      </c>
      <c r="E20" s="7" t="s">
        <v>21</v>
      </c>
      <c r="F20" s="10" t="s">
        <v>252</v>
      </c>
    </row>
    <row r="21" spans="1:6" ht="30" x14ac:dyDescent="0.2">
      <c r="A21" s="7">
        <v>1</v>
      </c>
      <c r="B21" s="7" t="s">
        <v>22</v>
      </c>
      <c r="C21" s="7" t="str">
        <f>CONCATENATE(REPT("     ",BusinessCase!A21)," ",BusinessCase!B21)</f>
        <v xml:space="preserve">      monitorability</v>
      </c>
      <c r="D21" s="7" t="s">
        <v>187</v>
      </c>
      <c r="E21" s="7" t="s">
        <v>23</v>
      </c>
      <c r="F21" s="10" t="s">
        <v>253</v>
      </c>
    </row>
    <row r="22" spans="1:6" x14ac:dyDescent="0.2">
      <c r="A22" s="7">
        <v>1</v>
      </c>
      <c r="B22" s="7" t="s">
        <v>24</v>
      </c>
      <c r="C22" s="7" t="str">
        <f>CONCATENATE(REPT("     ",BusinessCase!A22)," ",BusinessCase!B22)</f>
        <v xml:space="preserve">      performance</v>
      </c>
      <c r="D22" s="7" t="s">
        <v>187</v>
      </c>
      <c r="E22" s="7" t="s">
        <v>25</v>
      </c>
      <c r="F22" s="10" t="s">
        <v>254</v>
      </c>
    </row>
    <row r="23" spans="1:6" x14ac:dyDescent="0.2">
      <c r="A23" s="7">
        <v>1</v>
      </c>
      <c r="B23" s="7" t="s">
        <v>26</v>
      </c>
      <c r="C23" s="7" t="str">
        <f>CONCATENATE(REPT("     ",BusinessCase!A23)," ",BusinessCase!B23)</f>
        <v xml:space="preserve">      physical</v>
      </c>
      <c r="D23" s="7" t="s">
        <v>187</v>
      </c>
      <c r="E23" s="7" t="s">
        <v>27</v>
      </c>
    </row>
    <row r="24" spans="1:6" ht="45" x14ac:dyDescent="0.2">
      <c r="A24" s="7">
        <v>1</v>
      </c>
      <c r="B24" s="7" t="s">
        <v>28</v>
      </c>
      <c r="C24" s="7" t="str">
        <f>CONCATENATE(REPT("     ",BusinessCase!A24)," ",BusinessCase!B24)</f>
        <v xml:space="preserve">      physical context</v>
      </c>
      <c r="D24" s="7" t="s">
        <v>187</v>
      </c>
      <c r="E24" s="7" t="s">
        <v>29</v>
      </c>
      <c r="F24" s="10" t="s">
        <v>255</v>
      </c>
    </row>
    <row r="25" spans="1:6" x14ac:dyDescent="0.2">
      <c r="A25" s="7">
        <v>1</v>
      </c>
      <c r="B25" s="7" t="s">
        <v>30</v>
      </c>
      <c r="C25" s="7" t="str">
        <f>CONCATENATE(REPT("     ",BusinessCase!A25)," ",BusinessCase!B25)</f>
        <v xml:space="preserve">      sensing</v>
      </c>
      <c r="D25" s="7" t="s">
        <v>187</v>
      </c>
      <c r="E25" s="7" t="s">
        <v>31</v>
      </c>
      <c r="F25" s="10" t="s">
        <v>256</v>
      </c>
    </row>
    <row r="26" spans="1:6" ht="90" x14ac:dyDescent="0.2">
      <c r="A26" s="7">
        <v>1</v>
      </c>
      <c r="B26" s="7" t="s">
        <v>32</v>
      </c>
      <c r="C26" s="7" t="str">
        <f>CONCATENATE(REPT("     ",BusinessCase!A26)," ",BusinessCase!B26)</f>
        <v xml:space="preserve">      uncertainty</v>
      </c>
      <c r="D26" s="7" t="s">
        <v>187</v>
      </c>
      <c r="E26" s="7" t="s">
        <v>33</v>
      </c>
      <c r="F26" s="10" t="s">
        <v>257</v>
      </c>
    </row>
    <row r="27" spans="1:6" ht="30" x14ac:dyDescent="0.2">
      <c r="A27" s="7">
        <v>1</v>
      </c>
      <c r="B27" s="7" t="s">
        <v>188</v>
      </c>
      <c r="C27" s="7" t="str">
        <f>CONCATENATE(REPT("     ",BusinessCase!A27)," ",BusinessCase!B27)</f>
        <v xml:space="preserve">      statesAndModes</v>
      </c>
      <c r="D27" s="7" t="s">
        <v>189</v>
      </c>
      <c r="E27" s="7" t="s">
        <v>224</v>
      </c>
      <c r="F27" s="10" t="s">
        <v>258</v>
      </c>
    </row>
    <row r="28" spans="1:6" ht="30" x14ac:dyDescent="0.2">
      <c r="A28" s="7">
        <v>1</v>
      </c>
      <c r="B28" s="7" t="s">
        <v>222</v>
      </c>
      <c r="C28" s="7" t="str">
        <f>CONCATENATE(REPT("     ",BusinessCase!A28)," ",BusinessCase!B28)</f>
        <v xml:space="preserve">      manageability</v>
      </c>
      <c r="D28" s="7"/>
      <c r="E28" s="7" t="s">
        <v>223</v>
      </c>
      <c r="F28" s="10" t="s">
        <v>259</v>
      </c>
    </row>
    <row r="29" spans="1:6" ht="44" hidden="1" customHeight="1" x14ac:dyDescent="0.2">
      <c r="A29" s="7">
        <v>2</v>
      </c>
      <c r="B29" s="7" t="s">
        <v>194</v>
      </c>
      <c r="C29" s="7" t="str">
        <f>CONCATENATE(REPT("     ",BusinessCase!A29)," ",BusinessCase!B29)</f>
        <v xml:space="preserve">           configurationManagement</v>
      </c>
      <c r="D29" s="7" t="s">
        <v>190</v>
      </c>
      <c r="E29" s="7" t="s">
        <v>227</v>
      </c>
      <c r="F29" s="3"/>
    </row>
    <row r="30" spans="1:6" ht="30" hidden="1" x14ac:dyDescent="0.2">
      <c r="A30" s="7">
        <v>2</v>
      </c>
      <c r="B30" s="7" t="s">
        <v>195</v>
      </c>
      <c r="C30" s="7" t="str">
        <f>CONCATENATE(REPT("     ",BusinessCase!A30)," ",BusinessCase!B30)</f>
        <v xml:space="preserve">           configurationForLeastFFunctionality</v>
      </c>
      <c r="D30" s="7" t="s">
        <v>191</v>
      </c>
      <c r="E30" s="7" t="s">
        <v>212</v>
      </c>
      <c r="F30" s="3"/>
    </row>
    <row r="31" spans="1:6" ht="30" hidden="1" x14ac:dyDescent="0.2">
      <c r="A31" s="7">
        <v>2</v>
      </c>
      <c r="B31" s="7" t="s">
        <v>192</v>
      </c>
      <c r="C31" s="7" t="str">
        <f>CONCATENATE(REPT("     ",BusinessCase!A31)," ",BusinessCase!B31)</f>
        <v xml:space="preserve">           Component Inventory</v>
      </c>
      <c r="D31" s="7" t="s">
        <v>193</v>
      </c>
      <c r="E31" s="7" t="s">
        <v>213</v>
      </c>
      <c r="F31" s="3"/>
    </row>
    <row r="32" spans="1:6" x14ac:dyDescent="0.2">
      <c r="A32" s="5">
        <v>0</v>
      </c>
      <c r="B32" s="5" t="s">
        <v>4</v>
      </c>
      <c r="C32" s="5" t="str">
        <f>CONCATENATE(REPT("     ",BusinessCase!A32)," ",BusinessCase!B32)</f>
        <v xml:space="preserve"> Business</v>
      </c>
      <c r="D32" s="5" t="s">
        <v>187</v>
      </c>
      <c r="E32" s="6" t="s">
        <v>116</v>
      </c>
    </row>
    <row r="33" spans="1:9" x14ac:dyDescent="0.2">
      <c r="A33" s="7">
        <v>1</v>
      </c>
      <c r="B33" s="7" t="s">
        <v>34</v>
      </c>
      <c r="C33" s="7" t="str">
        <f>CONCATENATE(REPT("     ",BusinessCase!A33)," ",BusinessCase!B33)</f>
        <v xml:space="preserve">      enterprise</v>
      </c>
      <c r="D33" s="7" t="s">
        <v>187</v>
      </c>
      <c r="E33" s="7" t="s">
        <v>35</v>
      </c>
    </row>
    <row r="34" spans="1:9" s="15" customFormat="1" x14ac:dyDescent="0.2">
      <c r="A34" s="13">
        <v>1</v>
      </c>
      <c r="B34" s="7" t="s">
        <v>2</v>
      </c>
      <c r="C34" s="13" t="str">
        <f>CONCATENATE(REPT("     ",BusinessCase!A34)," ",BusinessCase!B34)</f>
        <v xml:space="preserve">      cost</v>
      </c>
      <c r="D34" s="7" t="s">
        <v>187</v>
      </c>
      <c r="E34" s="13" t="s">
        <v>36</v>
      </c>
      <c r="F34" s="14" t="s">
        <v>245</v>
      </c>
    </row>
    <row r="35" spans="1:9" x14ac:dyDescent="0.2">
      <c r="A35" s="7">
        <v>1</v>
      </c>
      <c r="B35" s="7" t="s">
        <v>37</v>
      </c>
      <c r="C35" s="7" t="str">
        <f>CONCATENATE(REPT("     ",BusinessCase!A35)," ",BusinessCase!B35)</f>
        <v xml:space="preserve">      environment</v>
      </c>
      <c r="D35" s="7" t="s">
        <v>187</v>
      </c>
      <c r="E35" s="7" t="s">
        <v>197</v>
      </c>
    </row>
    <row r="36" spans="1:9" x14ac:dyDescent="0.2">
      <c r="A36" s="7">
        <v>1</v>
      </c>
      <c r="B36" s="7" t="s">
        <v>38</v>
      </c>
      <c r="C36" s="7" t="str">
        <f>CONCATENATE(REPT("     ",BusinessCase!A36)," ",BusinessCase!B36)</f>
        <v xml:space="preserve">      policy</v>
      </c>
      <c r="D36" s="7" t="s">
        <v>187</v>
      </c>
      <c r="E36" s="7" t="s">
        <v>39</v>
      </c>
    </row>
    <row r="37" spans="1:9" x14ac:dyDescent="0.2">
      <c r="A37" s="7">
        <v>1</v>
      </c>
      <c r="B37" s="7" t="s">
        <v>40</v>
      </c>
      <c r="C37" s="7" t="str">
        <f>CONCATENATE(REPT("     ",BusinessCase!A37)," ",BusinessCase!B37)</f>
        <v xml:space="preserve">      quality</v>
      </c>
      <c r="D37" s="7" t="s">
        <v>187</v>
      </c>
      <c r="E37" s="7" t="s">
        <v>41</v>
      </c>
    </row>
    <row r="38" spans="1:9" x14ac:dyDescent="0.2">
      <c r="A38" s="7">
        <v>1</v>
      </c>
      <c r="B38" s="7" t="s">
        <v>42</v>
      </c>
      <c r="C38" s="7" t="str">
        <f>CONCATENATE(REPT("     ",BusinessCase!A38)," ",BusinessCase!B38)</f>
        <v xml:space="preserve">      regulatory</v>
      </c>
      <c r="D38" s="7" t="s">
        <v>187</v>
      </c>
      <c r="E38" s="7" t="s">
        <v>43</v>
      </c>
    </row>
    <row r="39" spans="1:9" x14ac:dyDescent="0.2">
      <c r="A39" s="7">
        <v>1</v>
      </c>
      <c r="B39" s="7" t="s">
        <v>44</v>
      </c>
      <c r="C39" s="7" t="str">
        <f>CONCATENATE(REPT("     ",BusinessCase!A39)," ",BusinessCase!B39)</f>
        <v xml:space="preserve">      time to market</v>
      </c>
      <c r="D39" s="7" t="s">
        <v>187</v>
      </c>
      <c r="E39" s="7" t="s">
        <v>45</v>
      </c>
    </row>
    <row r="40" spans="1:9" ht="30" x14ac:dyDescent="0.2">
      <c r="A40" s="7">
        <v>1</v>
      </c>
      <c r="B40" s="7" t="s">
        <v>46</v>
      </c>
      <c r="C40" s="7" t="str">
        <f>CONCATENATE(REPT("     ",BusinessCase!A40)," ",BusinessCase!B40)</f>
        <v xml:space="preserve">      utility</v>
      </c>
      <c r="D40" s="7" t="s">
        <v>187</v>
      </c>
      <c r="E40" s="7" t="s">
        <v>47</v>
      </c>
    </row>
    <row r="41" spans="1:9" x14ac:dyDescent="0.2">
      <c r="A41" s="7">
        <v>1</v>
      </c>
      <c r="B41" s="7" t="s">
        <v>196</v>
      </c>
      <c r="C41" s="7" t="str">
        <f>CONCATENATE(REPT("     ",BusinessCase!A41)," ",BusinessCase!B41)</f>
        <v xml:space="preserve">      Planning</v>
      </c>
      <c r="D41" s="7"/>
      <c r="E41" s="7" t="s">
        <v>211</v>
      </c>
    </row>
    <row r="42" spans="1:9" x14ac:dyDescent="0.2">
      <c r="A42" s="5">
        <v>0</v>
      </c>
      <c r="B42" s="5" t="s">
        <v>5</v>
      </c>
      <c r="C42" s="5" t="str">
        <f>CONCATENATE(REPT("     ",BusinessCase!A42)," ",BusinessCase!B42)</f>
        <v xml:space="preserve"> Human</v>
      </c>
      <c r="D42" s="5" t="s">
        <v>187</v>
      </c>
      <c r="E42" s="6" t="s">
        <v>117</v>
      </c>
    </row>
    <row r="43" spans="1:9" x14ac:dyDescent="0.2">
      <c r="A43" s="7">
        <v>1</v>
      </c>
      <c r="B43" s="7" t="s">
        <v>48</v>
      </c>
      <c r="C43" s="7" t="str">
        <f>CONCATENATE(REPT("     ",BusinessCase!A43)," ",BusinessCase!B43)</f>
        <v xml:space="preserve">      human factors</v>
      </c>
      <c r="D43" s="7" t="s">
        <v>187</v>
      </c>
      <c r="E43" s="7" t="s">
        <v>49</v>
      </c>
    </row>
    <row r="44" spans="1:9" s="15" customFormat="1" ht="45" x14ac:dyDescent="0.2">
      <c r="A44" s="13">
        <v>1</v>
      </c>
      <c r="B44" s="7" t="s">
        <v>50</v>
      </c>
      <c r="C44" s="13" t="str">
        <f>CONCATENATE(REPT("     ",BusinessCase!A44)," ",BusinessCase!B44)</f>
        <v xml:space="preserve">      usability</v>
      </c>
      <c r="D44" s="7" t="s">
        <v>187</v>
      </c>
      <c r="E44" s="13" t="s">
        <v>51</v>
      </c>
      <c r="F44" s="14" t="s">
        <v>243</v>
      </c>
      <c r="I44" s="15" t="s">
        <v>246</v>
      </c>
    </row>
    <row r="45" spans="1:9" x14ac:dyDescent="0.2">
      <c r="A45" s="5">
        <v>0</v>
      </c>
      <c r="B45" s="5" t="s">
        <v>6</v>
      </c>
      <c r="C45" s="5" t="str">
        <f>CONCATENATE(REPT("     ",BusinessCase!A45)," ",BusinessCase!B45)</f>
        <v xml:space="preserve"> Trustworthiness</v>
      </c>
      <c r="D45" s="5" t="s">
        <v>187</v>
      </c>
      <c r="E45" s="6" t="s">
        <v>118</v>
      </c>
    </row>
    <row r="46" spans="1:9" s="15" customFormat="1" ht="75" x14ac:dyDescent="0.2">
      <c r="A46" s="13">
        <v>1</v>
      </c>
      <c r="B46" s="7" t="s">
        <v>52</v>
      </c>
      <c r="C46" s="13" t="str">
        <f>CONCATENATE(REPT("     ",BusinessCase!A46)," ",BusinessCase!B46)</f>
        <v xml:space="preserve">      privacy</v>
      </c>
      <c r="D46" s="7" t="s">
        <v>187</v>
      </c>
      <c r="E46" s="13" t="s">
        <v>53</v>
      </c>
      <c r="F46" s="14" t="s">
        <v>242</v>
      </c>
    </row>
    <row r="47" spans="1:9" s="15" customFormat="1" ht="30" x14ac:dyDescent="0.2">
      <c r="A47" s="13">
        <v>1</v>
      </c>
      <c r="B47" s="7" t="s">
        <v>54</v>
      </c>
      <c r="C47" s="13" t="str">
        <f>CONCATENATE(REPT("     ",BusinessCase!A47)," ",BusinessCase!B47)</f>
        <v xml:space="preserve">      reliability</v>
      </c>
      <c r="D47" s="7" t="s">
        <v>187</v>
      </c>
      <c r="E47" s="13" t="s">
        <v>55</v>
      </c>
      <c r="F47" s="14" t="s">
        <v>241</v>
      </c>
    </row>
    <row r="48" spans="1:9" ht="30" x14ac:dyDescent="0.2">
      <c r="A48" s="7">
        <v>1</v>
      </c>
      <c r="B48" s="7" t="s">
        <v>56</v>
      </c>
      <c r="C48" s="7" t="str">
        <f>CONCATENATE(REPT("     ",BusinessCase!A48)," ",BusinessCase!B48)</f>
        <v xml:space="preserve">      resilience</v>
      </c>
      <c r="D48" s="7" t="s">
        <v>187</v>
      </c>
      <c r="E48" s="7" t="s">
        <v>57</v>
      </c>
    </row>
    <row r="49" spans="1:9" s="15" customFormat="1" ht="30" x14ac:dyDescent="0.2">
      <c r="A49" s="13">
        <v>1</v>
      </c>
      <c r="B49" s="7" t="s">
        <v>58</v>
      </c>
      <c r="C49" s="13" t="str">
        <f>CONCATENATE(REPT("     ",BusinessCase!A49)," ",BusinessCase!B49)</f>
        <v xml:space="preserve">      safety</v>
      </c>
      <c r="D49" s="7" t="s">
        <v>187</v>
      </c>
      <c r="E49" s="13" t="s">
        <v>59</v>
      </c>
      <c r="F49" s="14" t="s">
        <v>239</v>
      </c>
      <c r="I49" s="15" t="s">
        <v>247</v>
      </c>
    </row>
    <row r="50" spans="1:9" s="15" customFormat="1" ht="75" x14ac:dyDescent="0.2">
      <c r="A50" s="13">
        <v>1</v>
      </c>
      <c r="B50" s="7" t="s">
        <v>60</v>
      </c>
      <c r="C50" s="13" t="str">
        <f>CONCATENATE(REPT("     ",BusinessCase!A50)," ",BusinessCase!B50)</f>
        <v xml:space="preserve">      security</v>
      </c>
      <c r="D50" s="7" t="s">
        <v>187</v>
      </c>
      <c r="E50" s="13" t="s">
        <v>113</v>
      </c>
      <c r="F50" s="14" t="s">
        <v>240</v>
      </c>
    </row>
    <row r="51" spans="1:9" hidden="1" x14ac:dyDescent="0.2">
      <c r="A51" s="7">
        <v>2</v>
      </c>
      <c r="B51" s="7" t="s">
        <v>108</v>
      </c>
      <c r="C51" s="7" t="str">
        <f>CONCATENATE(REPT("     ",BusinessCase!A51)," ",BusinessCase!B51)</f>
        <v xml:space="preserve">           cybersecurity</v>
      </c>
      <c r="D51" s="7" t="s">
        <v>187</v>
      </c>
      <c r="E51" s="7" t="s">
        <v>228</v>
      </c>
      <c r="F51" s="3"/>
    </row>
    <row r="52" spans="1:9" hidden="1" x14ac:dyDescent="0.2">
      <c r="A52" s="7">
        <v>3</v>
      </c>
      <c r="B52" s="7" t="s">
        <v>107</v>
      </c>
      <c r="C52" s="7" t="str">
        <f>CONCATENATE(REPT("     ",BusinessCase!A52)," ",BusinessCase!B52)</f>
        <v xml:space="preserve">                confidentiality</v>
      </c>
      <c r="D52" s="7" t="s">
        <v>187</v>
      </c>
      <c r="E52" s="7" t="s">
        <v>112</v>
      </c>
      <c r="F52" s="3"/>
    </row>
    <row r="53" spans="1:9" hidden="1" x14ac:dyDescent="0.2">
      <c r="A53" s="7">
        <v>3</v>
      </c>
      <c r="B53" s="7" t="s">
        <v>110</v>
      </c>
      <c r="C53" s="7" t="str">
        <f>CONCATENATE(REPT("     ",BusinessCase!A53)," ",BusinessCase!B53)</f>
        <v xml:space="preserve">                integrity</v>
      </c>
      <c r="D53" s="7" t="s">
        <v>187</v>
      </c>
      <c r="E53" s="7" t="s">
        <v>215</v>
      </c>
      <c r="F53" s="3"/>
    </row>
    <row r="54" spans="1:9" hidden="1" x14ac:dyDescent="0.2">
      <c r="A54" s="7">
        <v>3</v>
      </c>
      <c r="B54" s="7" t="s">
        <v>111</v>
      </c>
      <c r="C54" s="7" t="str">
        <f>CONCATENATE(REPT("     ",BusinessCase!A54)," ",BusinessCase!B54)</f>
        <v xml:space="preserve">                availability</v>
      </c>
      <c r="D54" s="7" t="s">
        <v>187</v>
      </c>
      <c r="E54" s="7" t="s">
        <v>114</v>
      </c>
      <c r="F54" s="3"/>
    </row>
    <row r="55" spans="1:9" hidden="1" x14ac:dyDescent="0.2">
      <c r="A55" s="7">
        <v>2</v>
      </c>
      <c r="B55" s="7" t="s">
        <v>109</v>
      </c>
      <c r="C55" s="7" t="str">
        <f>CONCATENATE(REPT("     ",BusinessCase!A55)," ",BusinessCase!B55)</f>
        <v xml:space="preserve">           physicalsecurity</v>
      </c>
      <c r="D55" s="7" t="s">
        <v>187</v>
      </c>
      <c r="E55" s="7" t="s">
        <v>214</v>
      </c>
      <c r="F55" s="3"/>
    </row>
    <row r="56" spans="1:9" ht="30" x14ac:dyDescent="0.2">
      <c r="A56" s="5">
        <v>0</v>
      </c>
      <c r="B56" s="5" t="s">
        <v>7</v>
      </c>
      <c r="C56" s="5" t="str">
        <f>CONCATENATE(REPT("     ",BusinessCase!A56)," ",BusinessCase!B56)</f>
        <v xml:space="preserve"> Timing</v>
      </c>
      <c r="D56" s="5" t="s">
        <v>187</v>
      </c>
      <c r="E56" s="6" t="s">
        <v>119</v>
      </c>
    </row>
    <row r="57" spans="1:9" x14ac:dyDescent="0.2">
      <c r="A57" s="7">
        <v>1</v>
      </c>
      <c r="B57" s="7" t="s">
        <v>61</v>
      </c>
      <c r="C57" s="7" t="str">
        <f>CONCATENATE(REPT("     ",BusinessCase!A57)," ",BusinessCase!B57)</f>
        <v xml:space="preserve">      logical time</v>
      </c>
      <c r="D57" s="7" t="s">
        <v>187</v>
      </c>
      <c r="E57" s="7" t="s">
        <v>62</v>
      </c>
    </row>
    <row r="58" spans="1:9" ht="60" x14ac:dyDescent="0.2">
      <c r="A58" s="7">
        <v>1</v>
      </c>
      <c r="B58" s="7" t="s">
        <v>63</v>
      </c>
      <c r="C58" s="7" t="str">
        <f>CONCATENATE(REPT("     ",BusinessCase!A58)," ",BusinessCase!B58)</f>
        <v xml:space="preserve">      managing timing and latency</v>
      </c>
      <c r="D58" s="7" t="s">
        <v>187</v>
      </c>
      <c r="E58" s="7" t="s">
        <v>64</v>
      </c>
    </row>
    <row r="59" spans="1:9" ht="30" x14ac:dyDescent="0.2">
      <c r="A59" s="7">
        <v>1</v>
      </c>
      <c r="B59" s="7" t="s">
        <v>65</v>
      </c>
      <c r="C59" s="7" t="str">
        <f>CONCATENATE(REPT("     ",BusinessCase!A59)," ",BusinessCase!B59)</f>
        <v xml:space="preserve">      synchronization</v>
      </c>
      <c r="D59" s="7" t="s">
        <v>187</v>
      </c>
      <c r="E59" s="7" t="s">
        <v>66</v>
      </c>
    </row>
    <row r="60" spans="1:9" ht="30" x14ac:dyDescent="0.2">
      <c r="A60" s="7">
        <v>1</v>
      </c>
      <c r="B60" s="7" t="s">
        <v>67</v>
      </c>
      <c r="C60" s="7" t="str">
        <f>CONCATENATE(REPT("     ",BusinessCase!A60)," ",BusinessCase!B60)</f>
        <v xml:space="preserve">      time awareness</v>
      </c>
      <c r="D60" s="7" t="s">
        <v>187</v>
      </c>
      <c r="E60" s="7" t="s">
        <v>68</v>
      </c>
    </row>
    <row r="61" spans="1:9" ht="45" x14ac:dyDescent="0.2">
      <c r="A61" s="7">
        <v>1</v>
      </c>
      <c r="B61" s="7" t="s">
        <v>69</v>
      </c>
      <c r="C61" s="7" t="str">
        <f>CONCATENATE(REPT("     ",BusinessCase!A61)," ",BusinessCase!B61)</f>
        <v xml:space="preserve">      time-interval and latency control</v>
      </c>
      <c r="D61" s="7" t="s">
        <v>187</v>
      </c>
      <c r="E61" s="7" t="s">
        <v>70</v>
      </c>
    </row>
    <row r="62" spans="1:9" x14ac:dyDescent="0.2">
      <c r="A62" s="5">
        <v>0</v>
      </c>
      <c r="B62" s="5" t="s">
        <v>8</v>
      </c>
      <c r="C62" s="5" t="str">
        <f>CONCATENATE(REPT("     ",BusinessCase!A62)," ",BusinessCase!B62)</f>
        <v xml:space="preserve"> Data</v>
      </c>
      <c r="D62" s="5" t="s">
        <v>187</v>
      </c>
      <c r="E62" s="6" t="s">
        <v>120</v>
      </c>
    </row>
    <row r="63" spans="1:9" x14ac:dyDescent="0.2">
      <c r="A63" s="7">
        <v>1</v>
      </c>
      <c r="B63" s="7" t="s">
        <v>71</v>
      </c>
      <c r="C63" s="7" t="str">
        <f>CONCATENATE(REPT("     ",BusinessCase!A63)," ",BusinessCase!B63)</f>
        <v xml:space="preserve">      data semantics</v>
      </c>
      <c r="D63" s="7" t="s">
        <v>187</v>
      </c>
      <c r="E63" s="7" t="s">
        <v>72</v>
      </c>
    </row>
    <row r="64" spans="1:9" hidden="1" x14ac:dyDescent="0.2">
      <c r="A64" s="7">
        <v>2</v>
      </c>
      <c r="B64" s="7" t="s">
        <v>134</v>
      </c>
      <c r="C64" s="7" t="str">
        <f>CONCATENATE(REPT("     ",BusinessCase!A64)," ",BusinessCase!B64)</f>
        <v xml:space="preserve">           data models</v>
      </c>
      <c r="D64" s="7" t="s">
        <v>187</v>
      </c>
      <c r="E64" s="7" t="s">
        <v>141</v>
      </c>
      <c r="F64" s="3"/>
    </row>
    <row r="65" spans="1:6" hidden="1" x14ac:dyDescent="0.2">
      <c r="A65" s="7">
        <v>2</v>
      </c>
      <c r="B65" s="7" t="s">
        <v>135</v>
      </c>
      <c r="C65" s="7" t="str">
        <f>CONCATENATE(REPT("     ",BusinessCase!A65)," ",BusinessCase!B65)</f>
        <v xml:space="preserve">           granularity</v>
      </c>
      <c r="D65" s="7" t="s">
        <v>187</v>
      </c>
      <c r="E65" s="7" t="s">
        <v>148</v>
      </c>
      <c r="F65" s="3"/>
    </row>
    <row r="66" spans="1:6" hidden="1" x14ac:dyDescent="0.2">
      <c r="A66" s="7">
        <v>2</v>
      </c>
      <c r="B66" s="7" t="s">
        <v>136</v>
      </c>
      <c r="C66" s="7" t="str">
        <f>CONCATENATE(REPT("     ",BusinessCase!A66)," ",BusinessCase!B66)</f>
        <v xml:space="preserve">           meaning</v>
      </c>
      <c r="D66" s="7" t="s">
        <v>187</v>
      </c>
      <c r="E66" s="7" t="s">
        <v>149</v>
      </c>
      <c r="F66" s="3"/>
    </row>
    <row r="67" spans="1:6" ht="30" x14ac:dyDescent="0.2">
      <c r="A67" s="7">
        <v>1</v>
      </c>
      <c r="B67" s="7" t="s">
        <v>73</v>
      </c>
      <c r="C67" s="7" t="str">
        <f>CONCATENATE(REPT("     ",BusinessCase!A67)," ",BusinessCase!B67)</f>
        <v xml:space="preserve">      identity</v>
      </c>
      <c r="D67" s="7" t="s">
        <v>187</v>
      </c>
      <c r="E67" s="7" t="s">
        <v>74</v>
      </c>
    </row>
    <row r="68" spans="1:6" ht="30" hidden="1" x14ac:dyDescent="0.2">
      <c r="A68" s="7">
        <v>2</v>
      </c>
      <c r="B68" s="7" t="s">
        <v>216</v>
      </c>
      <c r="C68" s="7" t="str">
        <f>CONCATENATE(REPT("     ",BusinessCase!A68)," ",BusinessCase!B68)</f>
        <v xml:space="preserve">           resourceIdentification</v>
      </c>
      <c r="D68" s="7" t="s">
        <v>198</v>
      </c>
      <c r="E68" s="7" t="s">
        <v>150</v>
      </c>
      <c r="F68" s="3"/>
    </row>
    <row r="69" spans="1:6" hidden="1" x14ac:dyDescent="0.2">
      <c r="A69" s="7">
        <v>3</v>
      </c>
      <c r="B69" s="7" t="s">
        <v>217</v>
      </c>
      <c r="C69" s="7" t="str">
        <f>CONCATENATE(REPT("     ",BusinessCase!A69)," ",BusinessCase!B69)</f>
        <v xml:space="preserve">                userIdentification</v>
      </c>
      <c r="D69" s="7" t="s">
        <v>199</v>
      </c>
      <c r="E69" s="7" t="s">
        <v>229</v>
      </c>
      <c r="F69" s="3"/>
    </row>
    <row r="70" spans="1:6" ht="30" hidden="1" x14ac:dyDescent="0.2">
      <c r="A70" s="7">
        <v>3</v>
      </c>
      <c r="B70" s="7" t="s">
        <v>218</v>
      </c>
      <c r="C70" s="7" t="str">
        <f>CONCATENATE(REPT("     ",BusinessCase!A70)," ",BusinessCase!B70)</f>
        <v xml:space="preserve">                deviceIdentification</v>
      </c>
      <c r="D70" s="7" t="s">
        <v>200</v>
      </c>
      <c r="E70" s="7" t="s">
        <v>230</v>
      </c>
      <c r="F70" s="3"/>
    </row>
    <row r="71" spans="1:6" ht="30" hidden="1" x14ac:dyDescent="0.2">
      <c r="A71" s="7">
        <v>3</v>
      </c>
      <c r="B71" s="7" t="s">
        <v>219</v>
      </c>
      <c r="C71" s="7" t="str">
        <f>CONCATENATE(REPT("     ",BusinessCase!A71)," ",BusinessCase!B71)</f>
        <v xml:space="preserve">                objectIdentification</v>
      </c>
      <c r="D71" s="7" t="s">
        <v>201</v>
      </c>
      <c r="E71" s="7" t="s">
        <v>231</v>
      </c>
      <c r="F71" s="3"/>
    </row>
    <row r="72" spans="1:6" hidden="1" x14ac:dyDescent="0.2">
      <c r="A72" s="7">
        <v>3</v>
      </c>
      <c r="B72" s="7" t="s">
        <v>220</v>
      </c>
      <c r="C72" s="7" t="str">
        <f>CONCATENATE(REPT("     ",BusinessCase!A72)," ",BusinessCase!B72)</f>
        <v xml:space="preserve">                classIdentification</v>
      </c>
      <c r="D72" s="7"/>
      <c r="E72" s="7" t="s">
        <v>232</v>
      </c>
      <c r="F72" s="3"/>
    </row>
    <row r="73" spans="1:6" hidden="1" x14ac:dyDescent="0.2">
      <c r="A73" s="7">
        <v>2</v>
      </c>
      <c r="B73" s="7" t="s">
        <v>137</v>
      </c>
      <c r="C73" s="7" t="str">
        <f>CONCATENATE(REPT("     ",BusinessCase!A73)," ",BusinessCase!B73)</f>
        <v xml:space="preserve">           authentication</v>
      </c>
      <c r="D73" s="7" t="s">
        <v>187</v>
      </c>
      <c r="E73" s="7" t="s">
        <v>151</v>
      </c>
      <c r="F73" s="3"/>
    </row>
    <row r="74" spans="1:6" hidden="1" x14ac:dyDescent="0.2">
      <c r="A74" s="7">
        <v>2</v>
      </c>
      <c r="B74" s="7" t="s">
        <v>138</v>
      </c>
      <c r="C74" s="7" t="str">
        <f>CONCATENATE(REPT("     ",BusinessCase!A74)," ",BusinessCase!B74)</f>
        <v xml:space="preserve">           authorization</v>
      </c>
      <c r="D74" s="7" t="s">
        <v>187</v>
      </c>
      <c r="E74" s="7" t="s">
        <v>152</v>
      </c>
      <c r="F74" s="3"/>
    </row>
    <row r="75" spans="1:6" hidden="1" x14ac:dyDescent="0.2">
      <c r="A75" s="7">
        <v>2</v>
      </c>
      <c r="B75" s="7" t="s">
        <v>139</v>
      </c>
      <c r="C75" s="7" t="str">
        <f>CONCATENATE(REPT("     ",BusinessCase!A75)," ",BusinessCase!B75)</f>
        <v xml:space="preserve">           verification</v>
      </c>
      <c r="D75" s="7" t="s">
        <v>187</v>
      </c>
      <c r="E75" s="7" t="s">
        <v>153</v>
      </c>
      <c r="F75" s="3"/>
    </row>
    <row r="76" spans="1:6" hidden="1" x14ac:dyDescent="0.2">
      <c r="A76" s="7">
        <v>2</v>
      </c>
      <c r="B76" s="7" t="s">
        <v>110</v>
      </c>
      <c r="C76" s="7" t="str">
        <f>CONCATENATE(REPT("     ",BusinessCase!A76)," ",BusinessCase!B76)</f>
        <v xml:space="preserve">           integrity</v>
      </c>
      <c r="D76" s="7" t="s">
        <v>187</v>
      </c>
      <c r="E76" s="7" t="s">
        <v>154</v>
      </c>
      <c r="F76" s="3"/>
    </row>
    <row r="77" spans="1:6" hidden="1" x14ac:dyDescent="0.2">
      <c r="A77" s="7">
        <v>2</v>
      </c>
      <c r="B77" s="7" t="s">
        <v>221</v>
      </c>
      <c r="C77" s="7" t="str">
        <f>CONCATENATE(REPT("     ",BusinessCase!A77)," ",BusinessCase!B77)</f>
        <v xml:space="preserve">           configuration</v>
      </c>
      <c r="D77" s="7" t="s">
        <v>187</v>
      </c>
      <c r="E77" s="7" t="s">
        <v>155</v>
      </c>
      <c r="F77" s="3"/>
    </row>
    <row r="78" spans="1:6" hidden="1" x14ac:dyDescent="0.2">
      <c r="A78" s="7">
        <v>2</v>
      </c>
      <c r="B78" s="7" t="s">
        <v>140</v>
      </c>
      <c r="C78" s="7" t="str">
        <f>CONCATENATE(REPT("     ",BusinessCase!A78)," ",BusinessCase!B78)</f>
        <v xml:space="preserve">           provenance</v>
      </c>
      <c r="D78" s="7" t="s">
        <v>187</v>
      </c>
      <c r="E78" s="7" t="s">
        <v>156</v>
      </c>
      <c r="F78" s="3"/>
    </row>
    <row r="79" spans="1:6" ht="30" x14ac:dyDescent="0.2">
      <c r="A79" s="7">
        <v>1</v>
      </c>
      <c r="B79" s="7" t="s">
        <v>75</v>
      </c>
      <c r="C79" s="7" t="str">
        <f>CONCATENATE(REPT("     ",BusinessCase!A79)," ",BusinessCase!B79)</f>
        <v xml:space="preserve">      operations on data</v>
      </c>
      <c r="D79" s="7" t="s">
        <v>187</v>
      </c>
      <c r="E79" s="7" t="s">
        <v>76</v>
      </c>
    </row>
    <row r="80" spans="1:6" hidden="1" x14ac:dyDescent="0.2">
      <c r="A80" s="7">
        <v>2</v>
      </c>
      <c r="B80" s="7" t="s">
        <v>130</v>
      </c>
      <c r="C80" s="7" t="str">
        <f>CONCATENATE(REPT("     ",BusinessCase!A80)," ",BusinessCase!B80)</f>
        <v xml:space="preserve">           analytics</v>
      </c>
      <c r="D80" s="7" t="s">
        <v>187</v>
      </c>
      <c r="E80" s="7" t="s">
        <v>130</v>
      </c>
      <c r="F80" s="3"/>
    </row>
    <row r="81" spans="1:6" hidden="1" x14ac:dyDescent="0.2">
      <c r="A81" s="7">
        <v>2</v>
      </c>
      <c r="B81" s="7" t="s">
        <v>125</v>
      </c>
      <c r="C81" s="7" t="str">
        <f>CONCATENATE(REPT("     ",BusinessCase!A81)," ",BusinessCase!B81)</f>
        <v xml:space="preserve">           fusion</v>
      </c>
      <c r="D81" s="7" t="s">
        <v>187</v>
      </c>
      <c r="E81" s="7" t="s">
        <v>127</v>
      </c>
      <c r="F81" s="3"/>
    </row>
    <row r="82" spans="1:6" hidden="1" x14ac:dyDescent="0.2">
      <c r="A82" s="7">
        <v>2</v>
      </c>
      <c r="B82" s="7" t="s">
        <v>131</v>
      </c>
      <c r="C82" s="7" t="str">
        <f>CONCATENATE(REPT("     ",BusinessCase!A82)," ",BusinessCase!B82)</f>
        <v xml:space="preserve">           storage</v>
      </c>
      <c r="D82" s="7" t="s">
        <v>187</v>
      </c>
      <c r="E82" s="7" t="s">
        <v>128</v>
      </c>
      <c r="F82" s="3"/>
    </row>
    <row r="83" spans="1:6" ht="30" hidden="1" x14ac:dyDescent="0.2">
      <c r="A83" s="7">
        <v>2</v>
      </c>
      <c r="B83" s="7" t="s">
        <v>132</v>
      </c>
      <c r="C83" s="7" t="str">
        <f>CONCATENATE(REPT("     ",BusinessCase!A83)," ",BusinessCase!B83)</f>
        <v xml:space="preserve">           aggregation/disaggregation</v>
      </c>
      <c r="D83" s="7" t="s">
        <v>187</v>
      </c>
      <c r="E83" s="7" t="s">
        <v>158</v>
      </c>
      <c r="F83" s="3"/>
    </row>
    <row r="84" spans="1:6" hidden="1" x14ac:dyDescent="0.2">
      <c r="A84" s="7">
        <v>2</v>
      </c>
      <c r="B84" s="7" t="s">
        <v>133</v>
      </c>
      <c r="C84" s="7" t="str">
        <f>CONCATENATE(REPT("     ",BusinessCase!A84)," ",BusinessCase!B84)</f>
        <v xml:space="preserve">           transformation</v>
      </c>
      <c r="D84" s="7" t="s">
        <v>187</v>
      </c>
      <c r="E84" s="7" t="s">
        <v>157</v>
      </c>
      <c r="F84" s="3"/>
    </row>
    <row r="85" spans="1:6" ht="30" x14ac:dyDescent="0.2">
      <c r="A85" s="7">
        <v>1</v>
      </c>
      <c r="B85" s="7" t="s">
        <v>77</v>
      </c>
      <c r="C85" s="7" t="str">
        <f>CONCATENATE(REPT("     ",BusinessCase!A85)," ",BusinessCase!B85)</f>
        <v xml:space="preserve">      relationship between data</v>
      </c>
      <c r="D85" s="7" t="s">
        <v>187</v>
      </c>
      <c r="E85" s="7" t="s">
        <v>78</v>
      </c>
    </row>
    <row r="86" spans="1:6" hidden="1" x14ac:dyDescent="0.2">
      <c r="A86" s="7">
        <v>2</v>
      </c>
      <c r="B86" s="7" t="s">
        <v>142</v>
      </c>
      <c r="C86" s="7" t="str">
        <f>CONCATENATE(REPT("     ",BusinessCase!A86)," ",BusinessCase!B86)</f>
        <v xml:space="preserve">           time of data</v>
      </c>
      <c r="D86" s="7" t="s">
        <v>187</v>
      </c>
      <c r="E86" s="7" t="s">
        <v>159</v>
      </c>
      <c r="F86" s="3"/>
    </row>
    <row r="87" spans="1:6" ht="45" hidden="1" x14ac:dyDescent="0.2">
      <c r="A87" s="7">
        <v>2</v>
      </c>
      <c r="B87" s="7" t="s">
        <v>143</v>
      </c>
      <c r="C87" s="7" t="str">
        <f>CONCATENATE(REPT("     ",BusinessCase!A87)," ",BusinessCase!B87)</f>
        <v xml:space="preserve">           related data (including metadata)</v>
      </c>
      <c r="D87" s="7" t="s">
        <v>187</v>
      </c>
      <c r="E87" s="7" t="s">
        <v>160</v>
      </c>
      <c r="F87" s="3"/>
    </row>
    <row r="88" spans="1:6" hidden="1" x14ac:dyDescent="0.2">
      <c r="A88" s="7">
        <v>2</v>
      </c>
      <c r="B88" s="7" t="s">
        <v>144</v>
      </c>
      <c r="C88" s="7" t="str">
        <f>CONCATENATE(REPT("     ",BusinessCase!A88)," ",BusinessCase!B88)</f>
        <v xml:space="preserve">           location of data</v>
      </c>
      <c r="D88" s="7" t="s">
        <v>187</v>
      </c>
      <c r="E88" s="7" t="s">
        <v>144</v>
      </c>
      <c r="F88" s="3"/>
    </row>
    <row r="89" spans="1:6" hidden="1" x14ac:dyDescent="0.2">
      <c r="A89" s="7">
        <v>2</v>
      </c>
      <c r="B89" s="7" t="s">
        <v>145</v>
      </c>
      <c r="C89" s="7" t="str">
        <f>CONCATENATE(REPT("     ",BusinessCase!A89)," ",BusinessCase!B89)</f>
        <v xml:space="preserve">           inheritance</v>
      </c>
      <c r="D89" s="7" t="s">
        <v>187</v>
      </c>
      <c r="E89" s="7" t="s">
        <v>161</v>
      </c>
      <c r="F89" s="3"/>
    </row>
    <row r="90" spans="1:6" hidden="1" x14ac:dyDescent="0.2">
      <c r="A90" s="7">
        <v>2</v>
      </c>
      <c r="B90" s="7" t="s">
        <v>146</v>
      </c>
      <c r="C90" s="7" t="str">
        <f>CONCATENATE(REPT("     ",BusinessCase!A90)," ",BusinessCase!B90)</f>
        <v xml:space="preserve">           polymorphism</v>
      </c>
      <c r="D90" s="7" t="s">
        <v>187</v>
      </c>
      <c r="E90" s="7" t="s">
        <v>162</v>
      </c>
      <c r="F90" s="3"/>
    </row>
    <row r="91" spans="1:6" ht="30" hidden="1" x14ac:dyDescent="0.2">
      <c r="A91" s="7">
        <v>2</v>
      </c>
      <c r="B91" s="7" t="s">
        <v>163</v>
      </c>
      <c r="C91" s="7" t="str">
        <f>CONCATENATE(REPT("     ",BusinessCase!A91)," ",BusinessCase!B91)</f>
        <v xml:space="preserve">           directionality of relationships</v>
      </c>
      <c r="D91" s="7" t="s">
        <v>187</v>
      </c>
      <c r="E91" s="7" t="s">
        <v>147</v>
      </c>
      <c r="F91" s="3"/>
    </row>
    <row r="92" spans="1:6" hidden="1" x14ac:dyDescent="0.2">
      <c r="A92" s="7">
        <v>2</v>
      </c>
      <c r="B92" s="7" t="s">
        <v>40</v>
      </c>
      <c r="C92" s="7" t="str">
        <f>CONCATENATE(REPT("     ",BusinessCase!A92)," ",BusinessCase!B92)</f>
        <v xml:space="preserve">           quality</v>
      </c>
      <c r="D92" s="7" t="s">
        <v>187</v>
      </c>
      <c r="E92" s="7" t="s">
        <v>164</v>
      </c>
      <c r="F92" s="3"/>
    </row>
    <row r="93" spans="1:6" x14ac:dyDescent="0.2">
      <c r="A93" s="7">
        <v>1</v>
      </c>
      <c r="B93" s="7" t="s">
        <v>126</v>
      </c>
      <c r="C93" s="7" t="str">
        <f>CONCATENATE(REPT("     ",BusinessCase!A93)," ",BusinessCase!B93)</f>
        <v xml:space="preserve">      velocity</v>
      </c>
      <c r="D93" s="7" t="s">
        <v>187</v>
      </c>
      <c r="E93" s="7" t="s">
        <v>129</v>
      </c>
    </row>
    <row r="94" spans="1:6" ht="13" customHeight="1" x14ac:dyDescent="0.2">
      <c r="A94" s="5">
        <v>0</v>
      </c>
      <c r="B94" s="5" t="s">
        <v>9</v>
      </c>
      <c r="C94" s="5" t="str">
        <f>CONCATENATE(REPT("     ",BusinessCase!A94)," ",BusinessCase!B94)</f>
        <v xml:space="preserve"> Boundaries</v>
      </c>
      <c r="D94" s="5" t="s">
        <v>187</v>
      </c>
      <c r="E94" s="6" t="s">
        <v>121</v>
      </c>
    </row>
    <row r="95" spans="1:6" ht="30" x14ac:dyDescent="0.2">
      <c r="A95" s="7">
        <v>1</v>
      </c>
      <c r="B95" s="7" t="s">
        <v>79</v>
      </c>
      <c r="C95" s="7" t="str">
        <f>CONCATENATE(REPT("     ",BusinessCase!A95)," ",BusinessCase!B95)</f>
        <v xml:space="preserve">      behavioral</v>
      </c>
      <c r="D95" s="7" t="s">
        <v>187</v>
      </c>
      <c r="E95" s="7" t="s">
        <v>80</v>
      </c>
    </row>
    <row r="96" spans="1:6" x14ac:dyDescent="0.2">
      <c r="A96" s="7">
        <v>1</v>
      </c>
      <c r="B96" s="7" t="s">
        <v>81</v>
      </c>
      <c r="C96" s="7" t="str">
        <f>CONCATENATE(REPT("     ",BusinessCase!A96)," ",BusinessCase!B96)</f>
        <v xml:space="preserve">      networkability</v>
      </c>
      <c r="D96" s="7" t="s">
        <v>187</v>
      </c>
      <c r="E96" s="7" t="s">
        <v>82</v>
      </c>
    </row>
    <row r="97" spans="1:6" x14ac:dyDescent="0.2">
      <c r="A97" s="7">
        <v>1</v>
      </c>
      <c r="B97" s="7" t="s">
        <v>83</v>
      </c>
      <c r="C97" s="7" t="str">
        <f>CONCATENATE(REPT("     ",BusinessCase!A97)," ",BusinessCase!B97)</f>
        <v xml:space="preserve">      responsibility</v>
      </c>
      <c r="D97" s="7" t="s">
        <v>187</v>
      </c>
      <c r="E97" s="7" t="s">
        <v>84</v>
      </c>
    </row>
    <row r="98" spans="1:6" ht="45" x14ac:dyDescent="0.2">
      <c r="A98" s="5">
        <v>0</v>
      </c>
      <c r="B98" s="5" t="s">
        <v>10</v>
      </c>
      <c r="C98" s="5" t="str">
        <f>CONCATENATE(REPT("     ",BusinessCase!A98)," ",BusinessCase!B98)</f>
        <v xml:space="preserve"> Composition</v>
      </c>
      <c r="D98" s="5" t="s">
        <v>187</v>
      </c>
      <c r="E98" s="6" t="s">
        <v>122</v>
      </c>
    </row>
    <row r="99" spans="1:6" s="15" customFormat="1" ht="30" x14ac:dyDescent="0.2">
      <c r="A99" s="13">
        <v>1</v>
      </c>
      <c r="B99" s="7" t="s">
        <v>85</v>
      </c>
      <c r="C99" s="13" t="str">
        <f>CONCATENATE(REPT("     ",BusinessCase!A99)," ",BusinessCase!B99)</f>
        <v xml:space="preserve">      adaptability</v>
      </c>
      <c r="D99" s="7" t="s">
        <v>187</v>
      </c>
      <c r="E99" s="13" t="s">
        <v>86</v>
      </c>
      <c r="F99" s="14" t="s">
        <v>244</v>
      </c>
    </row>
    <row r="100" spans="1:6" ht="30" x14ac:dyDescent="0.2">
      <c r="A100" s="7">
        <v>1</v>
      </c>
      <c r="B100" s="7" t="s">
        <v>87</v>
      </c>
      <c r="C100" s="7" t="str">
        <f>CONCATENATE(REPT("     ",BusinessCase!A100)," ",BusinessCase!B100)</f>
        <v xml:space="preserve">      complexity</v>
      </c>
      <c r="D100" s="7" t="s">
        <v>187</v>
      </c>
      <c r="E100" s="7" t="s">
        <v>88</v>
      </c>
    </row>
    <row r="101" spans="1:6" x14ac:dyDescent="0.2">
      <c r="A101" s="7">
        <v>1</v>
      </c>
      <c r="B101" s="7" t="s">
        <v>89</v>
      </c>
      <c r="C101" s="7" t="str">
        <f>CONCATENATE(REPT("     ",BusinessCase!A101)," ",BusinessCase!B101)</f>
        <v xml:space="preserve">      constructivity</v>
      </c>
      <c r="D101" s="7" t="s">
        <v>187</v>
      </c>
      <c r="E101" s="7" t="s">
        <v>90</v>
      </c>
    </row>
    <row r="102" spans="1:6" ht="45" x14ac:dyDescent="0.2">
      <c r="A102" s="7">
        <v>1</v>
      </c>
      <c r="B102" s="7" t="s">
        <v>91</v>
      </c>
      <c r="C102" s="7" t="str">
        <f>CONCATENATE(REPT("     ",BusinessCase!A102)," ",BusinessCase!B102)</f>
        <v xml:space="preserve">      discoverability</v>
      </c>
      <c r="D102" s="7" t="s">
        <v>187</v>
      </c>
      <c r="E102" s="7" t="s">
        <v>92</v>
      </c>
    </row>
    <row r="103" spans="1:6" x14ac:dyDescent="0.2">
      <c r="A103" s="5">
        <v>0</v>
      </c>
      <c r="B103" s="5" t="s">
        <v>11</v>
      </c>
      <c r="C103" s="5" t="str">
        <f>CONCATENATE(REPT("     ",BusinessCase!A103)," ",BusinessCase!B103)</f>
        <v xml:space="preserve"> Lifecycle</v>
      </c>
      <c r="D103" s="5" t="s">
        <v>187</v>
      </c>
      <c r="E103" s="6" t="s">
        <v>123</v>
      </c>
    </row>
    <row r="104" spans="1:6" x14ac:dyDescent="0.2">
      <c r="A104" s="7">
        <v>1</v>
      </c>
      <c r="B104" s="7" t="s">
        <v>93</v>
      </c>
      <c r="C104" s="7" t="str">
        <f>CONCATENATE(REPT("     ",BusinessCase!A104)," ",BusinessCase!B104)</f>
        <v xml:space="preserve">      deployability</v>
      </c>
      <c r="D104" s="7" t="s">
        <v>187</v>
      </c>
      <c r="E104" s="7" t="s">
        <v>94</v>
      </c>
    </row>
    <row r="105" spans="1:6" x14ac:dyDescent="0.2">
      <c r="A105" s="7">
        <v>1</v>
      </c>
      <c r="B105" s="7" t="s">
        <v>95</v>
      </c>
      <c r="C105" s="7" t="str">
        <f>CONCATENATE(REPT("     ",BusinessCase!A105)," ",BusinessCase!B105)</f>
        <v xml:space="preserve">      disposability</v>
      </c>
      <c r="D105" s="7" t="s">
        <v>187</v>
      </c>
      <c r="E105" s="7" t="s">
        <v>96</v>
      </c>
    </row>
    <row r="106" spans="1:6" ht="30" x14ac:dyDescent="0.2">
      <c r="A106" s="7">
        <v>1</v>
      </c>
      <c r="B106" s="7" t="s">
        <v>97</v>
      </c>
      <c r="C106" s="7" t="str">
        <f>CONCATENATE(REPT("     ",BusinessCase!A106)," ",BusinessCase!B106)</f>
        <v xml:space="preserve">      engineerability</v>
      </c>
      <c r="D106" s="7" t="s">
        <v>187</v>
      </c>
      <c r="E106" s="7" t="s">
        <v>98</v>
      </c>
    </row>
    <row r="107" spans="1:6" x14ac:dyDescent="0.2">
      <c r="A107" s="7">
        <v>1</v>
      </c>
      <c r="B107" s="7" t="s">
        <v>99</v>
      </c>
      <c r="C107" s="7" t="str">
        <f>CONCATENATE(REPT("     ",BusinessCase!A107)," ",BusinessCase!B107)</f>
        <v xml:space="preserve">      maintainability</v>
      </c>
      <c r="D107" s="7" t="s">
        <v>187</v>
      </c>
      <c r="E107" s="7" t="s">
        <v>100</v>
      </c>
    </row>
    <row r="108" spans="1:6" x14ac:dyDescent="0.2">
      <c r="A108" s="7">
        <v>1</v>
      </c>
      <c r="B108" s="7" t="s">
        <v>101</v>
      </c>
      <c r="C108" s="7" t="str">
        <f>CONCATENATE(REPT("     ",BusinessCase!A108)," ",BusinessCase!B108)</f>
        <v xml:space="preserve">      operatability</v>
      </c>
      <c r="D108" s="7" t="s">
        <v>187</v>
      </c>
      <c r="E108" s="7" t="s">
        <v>102</v>
      </c>
    </row>
    <row r="109" spans="1:6" x14ac:dyDescent="0.2">
      <c r="A109" s="7">
        <v>1</v>
      </c>
      <c r="B109" s="7" t="s">
        <v>103</v>
      </c>
      <c r="C109" s="7" t="str">
        <f>CONCATENATE(REPT("     ",BusinessCase!A109)," ",BusinessCase!B109)</f>
        <v xml:space="preserve">      procureability</v>
      </c>
      <c r="D109" s="7" t="s">
        <v>187</v>
      </c>
      <c r="E109" s="7" t="s">
        <v>104</v>
      </c>
    </row>
    <row r="110" spans="1:6" x14ac:dyDescent="0.2">
      <c r="A110" s="7">
        <v>1</v>
      </c>
      <c r="B110" s="7" t="s">
        <v>105</v>
      </c>
      <c r="C110" s="7" t="str">
        <f>CONCATENATE(REPT("     ",BusinessCase!A110)," ",BusinessCase!B110)</f>
        <v xml:space="preserve">      producibility</v>
      </c>
      <c r="D110" s="7" t="s">
        <v>187</v>
      </c>
      <c r="E110" s="7" t="s">
        <v>106</v>
      </c>
    </row>
  </sheetData>
  <autoFilter ref="A4:E110">
    <filterColumn colId="0">
      <filters>
        <filter val="0"/>
        <filter val="1"/>
      </filters>
    </filterColumn>
  </autoFilter>
  <mergeCells count="1">
    <mergeCell ref="F3:J3"/>
  </mergeCells>
  <pageMargins left="0.7" right="0.7" top="0.75" bottom="0.75" header="0.3" footer="0.3"/>
  <pageSetup orientation="portrait" horizontalDpi="4294967293" verticalDpi="429496729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J110"/>
  <sheetViews>
    <sheetView zoomScale="85" zoomScaleNormal="85" zoomScalePageLayoutView="85" workbookViewId="0">
      <pane ySplit="4" topLeftCell="A5" activePane="bottomLeft" state="frozen"/>
      <selection pane="bottomLeft" activeCell="G29" sqref="G29"/>
    </sheetView>
  </sheetViews>
  <sheetFormatPr baseColWidth="10" defaultColWidth="8.83203125" defaultRowHeight="15" x14ac:dyDescent="0.2"/>
  <cols>
    <col min="1" max="1" width="15.33203125" style="3" customWidth="1"/>
    <col min="2" max="2" width="15.33203125" style="3" hidden="1" customWidth="1"/>
    <col min="3" max="3" width="40.5" style="3" customWidth="1"/>
    <col min="4" max="4" width="40.5" style="3" hidden="1" customWidth="1"/>
    <col min="5" max="5" width="105.83203125" style="3" customWidth="1"/>
    <col min="6" max="7" width="50.33203125" style="3" customWidth="1"/>
    <col min="8" max="8" width="12.6640625" style="3" customWidth="1"/>
    <col min="9" max="9" width="35.5" style="3" customWidth="1"/>
    <col min="10" max="10" width="82.1640625" style="3" customWidth="1"/>
    <col min="11" max="16384" width="8.83203125" style="3"/>
  </cols>
  <sheetData>
    <row r="1" spans="1:10" ht="34" x14ac:dyDescent="0.2">
      <c r="A1" s="8">
        <f ca="1">NOW()</f>
        <v>42636.659261111112</v>
      </c>
      <c r="E1" s="4" t="s">
        <v>124</v>
      </c>
    </row>
    <row r="3" spans="1:10" x14ac:dyDescent="0.2">
      <c r="F3" s="9" t="s">
        <v>238</v>
      </c>
      <c r="G3" s="9"/>
      <c r="H3" s="9"/>
      <c r="I3" s="9"/>
      <c r="J3" s="9"/>
    </row>
    <row r="4" spans="1:10" s="2" customFormat="1" ht="24" x14ac:dyDescent="0.2">
      <c r="A4" s="1" t="s">
        <v>0</v>
      </c>
      <c r="B4" s="1" t="s">
        <v>165</v>
      </c>
      <c r="C4" s="1" t="s">
        <v>225</v>
      </c>
      <c r="D4" s="1" t="s">
        <v>186</v>
      </c>
      <c r="E4" s="1" t="s">
        <v>1</v>
      </c>
      <c r="F4" s="2" t="s">
        <v>235</v>
      </c>
      <c r="G4" s="2" t="s">
        <v>236</v>
      </c>
      <c r="H4" s="2" t="s">
        <v>237</v>
      </c>
      <c r="I4" s="2" t="s">
        <v>233</v>
      </c>
      <c r="J4" s="2" t="s">
        <v>234</v>
      </c>
    </row>
    <row r="5" spans="1:10" x14ac:dyDescent="0.2">
      <c r="A5" s="5">
        <v>0</v>
      </c>
      <c r="B5" s="5" t="s">
        <v>3</v>
      </c>
      <c r="C5" s="5" t="str">
        <f>CONCATENATE(REPT("     ",UseCase.Scenario.Heating!A5)," ",UseCase.Scenario.Heating!B5)</f>
        <v xml:space="preserve"> Functional</v>
      </c>
      <c r="D5" s="5" t="s">
        <v>187</v>
      </c>
      <c r="E5" s="6" t="s">
        <v>115</v>
      </c>
    </row>
    <row r="6" spans="1:10" x14ac:dyDescent="0.2">
      <c r="A6" s="7">
        <v>1</v>
      </c>
      <c r="B6" s="7" t="s">
        <v>12</v>
      </c>
      <c r="C6" s="7" t="str">
        <f>CONCATENATE(REPT("     ",UseCase.Scenario.Heating!A6)," ",UseCase.Scenario.Heating!B6)</f>
        <v xml:space="preserve">      actuation</v>
      </c>
      <c r="D6" s="7" t="s">
        <v>187</v>
      </c>
      <c r="E6" s="7" t="s">
        <v>13</v>
      </c>
    </row>
    <row r="7" spans="1:10" x14ac:dyDescent="0.2">
      <c r="A7" s="7">
        <v>1</v>
      </c>
      <c r="B7" s="7" t="s">
        <v>14</v>
      </c>
      <c r="C7" s="7" t="str">
        <f>CONCATENATE(REPT("     ",UseCase.Scenario.Heating!A7)," ",UseCase.Scenario.Heating!B7)</f>
        <v xml:space="preserve">      communication</v>
      </c>
      <c r="D7" s="7" t="s">
        <v>187</v>
      </c>
      <c r="E7" s="7" t="s">
        <v>15</v>
      </c>
    </row>
    <row r="8" spans="1:10" ht="30" x14ac:dyDescent="0.2">
      <c r="A8" s="7">
        <v>2</v>
      </c>
      <c r="B8" s="7" t="s">
        <v>166</v>
      </c>
      <c r="C8" s="7" t="str">
        <f>CONCATENATE(REPT("     ",UseCase.Scenario.Heating!A8)," ",UseCase.Scenario.Heating!B8)</f>
        <v xml:space="preserve">           Syntactic Interoperability</v>
      </c>
      <c r="D8" s="7" t="s">
        <v>167</v>
      </c>
      <c r="E8" s="7" t="s">
        <v>202</v>
      </c>
    </row>
    <row r="9" spans="1:10" x14ac:dyDescent="0.2">
      <c r="A9" s="7">
        <v>3</v>
      </c>
      <c r="B9" s="7" t="s">
        <v>168</v>
      </c>
      <c r="C9" s="7" t="str">
        <f>CONCATENATE(REPT("     ",UseCase.Scenario.Heating!A9)," ",UseCase.Scenario.Heating!B9)</f>
        <v xml:space="preserve">                OSI-Application</v>
      </c>
      <c r="D9" s="7" t="s">
        <v>169</v>
      </c>
      <c r="E9" s="7" t="s">
        <v>203</v>
      </c>
    </row>
    <row r="10" spans="1:10" x14ac:dyDescent="0.2">
      <c r="A10" s="7">
        <v>3</v>
      </c>
      <c r="B10" s="7" t="s">
        <v>170</v>
      </c>
      <c r="C10" s="7" t="str">
        <f>CONCATENATE(REPT("     ",UseCase.Scenario.Heating!A10)," ",UseCase.Scenario.Heating!B10)</f>
        <v xml:space="preserve">                OSI-Presentation</v>
      </c>
      <c r="D10" s="7" t="s">
        <v>171</v>
      </c>
      <c r="E10" s="7" t="s">
        <v>204</v>
      </c>
    </row>
    <row r="11" spans="1:10" ht="30" x14ac:dyDescent="0.2">
      <c r="A11" s="7">
        <v>2</v>
      </c>
      <c r="B11" s="7" t="s">
        <v>172</v>
      </c>
      <c r="C11" s="7" t="str">
        <f>CONCATENATE(REPT("     ",UseCase.Scenario.Heating!A11)," ",UseCase.Scenario.Heating!B11)</f>
        <v xml:space="preserve">           Network Interoperability</v>
      </c>
      <c r="D11" s="7" t="s">
        <v>173</v>
      </c>
      <c r="E11" s="7" t="s">
        <v>205</v>
      </c>
    </row>
    <row r="12" spans="1:10" x14ac:dyDescent="0.2">
      <c r="A12" s="7">
        <v>3</v>
      </c>
      <c r="B12" s="7" t="s">
        <v>174</v>
      </c>
      <c r="C12" s="7" t="str">
        <f>CONCATENATE(REPT("     ",UseCase.Scenario.Heating!A12)," ",UseCase.Scenario.Heating!B12)</f>
        <v xml:space="preserve">                OSI-Session</v>
      </c>
      <c r="D12" s="7" t="s">
        <v>175</v>
      </c>
      <c r="E12" s="7" t="s">
        <v>226</v>
      </c>
    </row>
    <row r="13" spans="1:10" x14ac:dyDescent="0.2">
      <c r="A13" s="7">
        <v>3</v>
      </c>
      <c r="B13" s="7" t="s">
        <v>176</v>
      </c>
      <c r="C13" s="7" t="str">
        <f>CONCATENATE(REPT("     ",UseCase.Scenario.Heating!A13)," ",UseCase.Scenario.Heating!B13)</f>
        <v xml:space="preserve">                OSI-Transport</v>
      </c>
      <c r="D13" s="7" t="s">
        <v>177</v>
      </c>
      <c r="E13" s="7" t="s">
        <v>206</v>
      </c>
    </row>
    <row r="14" spans="1:10" x14ac:dyDescent="0.2">
      <c r="A14" s="7">
        <v>3</v>
      </c>
      <c r="B14" s="7" t="s">
        <v>178</v>
      </c>
      <c r="C14" s="7" t="str">
        <f>CONCATENATE(REPT("     ",UseCase.Scenario.Heating!A14)," ",UseCase.Scenario.Heating!B14)</f>
        <v xml:space="preserve">                OSI-Network</v>
      </c>
      <c r="D14" s="7" t="s">
        <v>179</v>
      </c>
      <c r="E14" s="7" t="s">
        <v>207</v>
      </c>
    </row>
    <row r="15" spans="1:10" x14ac:dyDescent="0.2">
      <c r="A15" s="7">
        <v>2</v>
      </c>
      <c r="B15" s="7" t="s">
        <v>180</v>
      </c>
      <c r="C15" s="7" t="str">
        <f>CONCATENATE(REPT("     ",UseCase.Scenario.Heating!A15)," ",UseCase.Scenario.Heating!B15)</f>
        <v xml:space="preserve">           Basic Connectivity</v>
      </c>
      <c r="D15" s="7" t="s">
        <v>181</v>
      </c>
      <c r="E15" s="7" t="s">
        <v>208</v>
      </c>
    </row>
    <row r="16" spans="1:10" x14ac:dyDescent="0.2">
      <c r="A16" s="7">
        <v>3</v>
      </c>
      <c r="B16" s="7" t="s">
        <v>182</v>
      </c>
      <c r="C16" s="7" t="str">
        <f>CONCATENATE(REPT("     ",UseCase.Scenario.Heating!A16)," ",UseCase.Scenario.Heating!B16)</f>
        <v xml:space="preserve">                OSI-Data Link</v>
      </c>
      <c r="D16" s="7" t="s">
        <v>183</v>
      </c>
      <c r="E16" s="7" t="s">
        <v>209</v>
      </c>
    </row>
    <row r="17" spans="1:5" x14ac:dyDescent="0.2">
      <c r="A17" s="7">
        <v>3</v>
      </c>
      <c r="B17" s="7" t="s">
        <v>184</v>
      </c>
      <c r="C17" s="7" t="str">
        <f>CONCATENATE(REPT("     ",UseCase.Scenario.Heating!A17)," ",UseCase.Scenario.Heating!B17)</f>
        <v xml:space="preserve">                OSI-Physical</v>
      </c>
      <c r="D17" s="7" t="s">
        <v>185</v>
      </c>
      <c r="E17" s="7" t="s">
        <v>210</v>
      </c>
    </row>
    <row r="18" spans="1:5" ht="45" x14ac:dyDescent="0.2">
      <c r="A18" s="7">
        <v>1</v>
      </c>
      <c r="B18" s="7" t="s">
        <v>16</v>
      </c>
      <c r="C18" s="7" t="str">
        <f>CONCATENATE(REPT("     ",UseCase.Scenario.Heating!A18)," ",UseCase.Scenario.Heating!B18)</f>
        <v xml:space="preserve">      controllability</v>
      </c>
      <c r="D18" s="7" t="s">
        <v>187</v>
      </c>
      <c r="E18" s="7" t="s">
        <v>17</v>
      </c>
    </row>
    <row r="19" spans="1:5" x14ac:dyDescent="0.2">
      <c r="A19" s="7">
        <v>1</v>
      </c>
      <c r="B19" s="7" t="s">
        <v>18</v>
      </c>
      <c r="C19" s="7" t="str">
        <f>CONCATENATE(REPT("     ",UseCase.Scenario.Heating!A19)," ",UseCase.Scenario.Heating!B19)</f>
        <v xml:space="preserve">      functionality</v>
      </c>
      <c r="D19" s="7" t="s">
        <v>187</v>
      </c>
      <c r="E19" s="7" t="s">
        <v>19</v>
      </c>
    </row>
    <row r="20" spans="1:5" x14ac:dyDescent="0.2">
      <c r="A20" s="7">
        <v>1</v>
      </c>
      <c r="B20" s="7" t="s">
        <v>20</v>
      </c>
      <c r="C20" s="7" t="str">
        <f>CONCATENATE(REPT("     ",UseCase.Scenario.Heating!A20)," ",UseCase.Scenario.Heating!B20)</f>
        <v xml:space="preserve">      measurability</v>
      </c>
      <c r="D20" s="7" t="s">
        <v>187</v>
      </c>
      <c r="E20" s="7" t="s">
        <v>21</v>
      </c>
    </row>
    <row r="21" spans="1:5" ht="30" x14ac:dyDescent="0.2">
      <c r="A21" s="7">
        <v>1</v>
      </c>
      <c r="B21" s="7" t="s">
        <v>22</v>
      </c>
      <c r="C21" s="7" t="str">
        <f>CONCATENATE(REPT("     ",UseCase.Scenario.Heating!A21)," ",UseCase.Scenario.Heating!B21)</f>
        <v xml:space="preserve">      monitorability</v>
      </c>
      <c r="D21" s="7" t="s">
        <v>187</v>
      </c>
      <c r="E21" s="7" t="s">
        <v>23</v>
      </c>
    </row>
    <row r="22" spans="1:5" x14ac:dyDescent="0.2">
      <c r="A22" s="7">
        <v>1</v>
      </c>
      <c r="B22" s="7" t="s">
        <v>24</v>
      </c>
      <c r="C22" s="7" t="str">
        <f>CONCATENATE(REPT("     ",UseCase.Scenario.Heating!A22)," ",UseCase.Scenario.Heating!B22)</f>
        <v xml:space="preserve">      performance</v>
      </c>
      <c r="D22" s="7" t="s">
        <v>187</v>
      </c>
      <c r="E22" s="7" t="s">
        <v>25</v>
      </c>
    </row>
    <row r="23" spans="1:5" x14ac:dyDescent="0.2">
      <c r="A23" s="7">
        <v>1</v>
      </c>
      <c r="B23" s="7" t="s">
        <v>26</v>
      </c>
      <c r="C23" s="7" t="str">
        <f>CONCATENATE(REPT("     ",UseCase.Scenario.Heating!A23)," ",UseCase.Scenario.Heating!B23)</f>
        <v xml:space="preserve">      physical</v>
      </c>
      <c r="D23" s="7" t="s">
        <v>187</v>
      </c>
      <c r="E23" s="7" t="s">
        <v>27</v>
      </c>
    </row>
    <row r="24" spans="1:5" ht="45" x14ac:dyDescent="0.2">
      <c r="A24" s="7">
        <v>1</v>
      </c>
      <c r="B24" s="7" t="s">
        <v>28</v>
      </c>
      <c r="C24" s="7" t="str">
        <f>CONCATENATE(REPT("     ",UseCase.Scenario.Heating!A24)," ",UseCase.Scenario.Heating!B24)</f>
        <v xml:space="preserve">      physical context</v>
      </c>
      <c r="D24" s="7" t="s">
        <v>187</v>
      </c>
      <c r="E24" s="7" t="s">
        <v>29</v>
      </c>
    </row>
    <row r="25" spans="1:5" x14ac:dyDescent="0.2">
      <c r="A25" s="7">
        <v>1</v>
      </c>
      <c r="B25" s="7" t="s">
        <v>30</v>
      </c>
      <c r="C25" s="7" t="str">
        <f>CONCATENATE(REPT("     ",UseCase.Scenario.Heating!A25)," ",UseCase.Scenario.Heating!B25)</f>
        <v xml:space="preserve">      sensing</v>
      </c>
      <c r="D25" s="7" t="s">
        <v>187</v>
      </c>
      <c r="E25" s="7" t="s">
        <v>31</v>
      </c>
    </row>
    <row r="26" spans="1:5" ht="90" x14ac:dyDescent="0.2">
      <c r="A26" s="7">
        <v>1</v>
      </c>
      <c r="B26" s="7" t="s">
        <v>32</v>
      </c>
      <c r="C26" s="7" t="str">
        <f>CONCATENATE(REPT("     ",UseCase.Scenario.Heating!A26)," ",UseCase.Scenario.Heating!B26)</f>
        <v xml:space="preserve">      uncertainty</v>
      </c>
      <c r="D26" s="7" t="s">
        <v>187</v>
      </c>
      <c r="E26" s="7" t="s">
        <v>33</v>
      </c>
    </row>
    <row r="27" spans="1:5" x14ac:dyDescent="0.2">
      <c r="A27" s="7">
        <v>1</v>
      </c>
      <c r="B27" s="7" t="s">
        <v>188</v>
      </c>
      <c r="C27" s="7" t="str">
        <f>CONCATENATE(REPT("     ",UseCase.Scenario.Heating!A27)," ",UseCase.Scenario.Heating!B27)</f>
        <v xml:space="preserve">      statesAndModes</v>
      </c>
      <c r="D27" s="7" t="s">
        <v>189</v>
      </c>
      <c r="E27" s="7" t="s">
        <v>224</v>
      </c>
    </row>
    <row r="28" spans="1:5" x14ac:dyDescent="0.2">
      <c r="A28" s="7">
        <v>1</v>
      </c>
      <c r="B28" s="7" t="s">
        <v>222</v>
      </c>
      <c r="C28" s="7" t="str">
        <f>CONCATENATE(REPT("     ",UseCase.Scenario.Heating!A28)," ",UseCase.Scenario.Heating!B28)</f>
        <v xml:space="preserve">      manageability</v>
      </c>
      <c r="D28" s="7"/>
      <c r="E28" s="7" t="s">
        <v>223</v>
      </c>
    </row>
    <row r="29" spans="1:5" ht="44" customHeight="1" x14ac:dyDescent="0.2">
      <c r="A29" s="7">
        <v>2</v>
      </c>
      <c r="B29" s="7" t="s">
        <v>194</v>
      </c>
      <c r="C29" s="7" t="str">
        <f>CONCATENATE(REPT("     ",UseCase.Scenario.Heating!A29)," ",UseCase.Scenario.Heating!B29)</f>
        <v xml:space="preserve">           configurationManagement</v>
      </c>
      <c r="D29" s="7" t="s">
        <v>190</v>
      </c>
      <c r="E29" s="7" t="s">
        <v>227</v>
      </c>
    </row>
    <row r="30" spans="1:5" ht="30" x14ac:dyDescent="0.2">
      <c r="A30" s="7">
        <v>2</v>
      </c>
      <c r="B30" s="7" t="s">
        <v>195</v>
      </c>
      <c r="C30" s="7" t="str">
        <f>CONCATENATE(REPT("     ",UseCase.Scenario.Heating!A30)," ",UseCase.Scenario.Heating!B30)</f>
        <v xml:space="preserve">           configurationForLeastFFunctionality</v>
      </c>
      <c r="D30" s="7" t="s">
        <v>191</v>
      </c>
      <c r="E30" s="7" t="s">
        <v>212</v>
      </c>
    </row>
    <row r="31" spans="1:5" ht="30" x14ac:dyDescent="0.2">
      <c r="A31" s="7">
        <v>2</v>
      </c>
      <c r="B31" s="7" t="s">
        <v>192</v>
      </c>
      <c r="C31" s="7" t="str">
        <f>CONCATENATE(REPT("     ",UseCase.Scenario.Heating!A31)," ",UseCase.Scenario.Heating!B31)</f>
        <v xml:space="preserve">           Component Inventory</v>
      </c>
      <c r="D31" s="7" t="s">
        <v>193</v>
      </c>
      <c r="E31" s="7" t="s">
        <v>213</v>
      </c>
    </row>
    <row r="32" spans="1:5" x14ac:dyDescent="0.2">
      <c r="A32" s="5">
        <v>0</v>
      </c>
      <c r="B32" s="5" t="s">
        <v>4</v>
      </c>
      <c r="C32" s="5" t="str">
        <f>CONCATENATE(REPT("     ",UseCase.Scenario.Heating!A32)," ",UseCase.Scenario.Heating!B32)</f>
        <v xml:space="preserve"> Business</v>
      </c>
      <c r="D32" s="5" t="s">
        <v>187</v>
      </c>
      <c r="E32" s="6" t="s">
        <v>116</v>
      </c>
    </row>
    <row r="33" spans="1:5" x14ac:dyDescent="0.2">
      <c r="A33" s="7">
        <v>1</v>
      </c>
      <c r="B33" s="7" t="s">
        <v>34</v>
      </c>
      <c r="C33" s="7" t="str">
        <f>CONCATENATE(REPT("     ",UseCase.Scenario.Heating!A33)," ",UseCase.Scenario.Heating!B33)</f>
        <v xml:space="preserve">      enterprise</v>
      </c>
      <c r="D33" s="7" t="s">
        <v>187</v>
      </c>
      <c r="E33" s="7" t="s">
        <v>35</v>
      </c>
    </row>
    <row r="34" spans="1:5" x14ac:dyDescent="0.2">
      <c r="A34" s="7">
        <v>1</v>
      </c>
      <c r="B34" s="7" t="s">
        <v>2</v>
      </c>
      <c r="C34" s="7" t="str">
        <f>CONCATENATE(REPT("     ",UseCase.Scenario.Heating!A34)," ",UseCase.Scenario.Heating!B34)</f>
        <v xml:space="preserve">      cost</v>
      </c>
      <c r="D34" s="7" t="s">
        <v>187</v>
      </c>
      <c r="E34" s="7" t="s">
        <v>36</v>
      </c>
    </row>
    <row r="35" spans="1:5" x14ac:dyDescent="0.2">
      <c r="A35" s="7">
        <v>1</v>
      </c>
      <c r="B35" s="7" t="s">
        <v>37</v>
      </c>
      <c r="C35" s="7" t="str">
        <f>CONCATENATE(REPT("     ",UseCase.Scenario.Heating!A35)," ",UseCase.Scenario.Heating!B35)</f>
        <v xml:space="preserve">      environment</v>
      </c>
      <c r="D35" s="7" t="s">
        <v>187</v>
      </c>
      <c r="E35" s="7" t="s">
        <v>197</v>
      </c>
    </row>
    <row r="36" spans="1:5" x14ac:dyDescent="0.2">
      <c r="A36" s="7">
        <v>1</v>
      </c>
      <c r="B36" s="7" t="s">
        <v>38</v>
      </c>
      <c r="C36" s="7" t="str">
        <f>CONCATENATE(REPT("     ",UseCase.Scenario.Heating!A36)," ",UseCase.Scenario.Heating!B36)</f>
        <v xml:space="preserve">      policy</v>
      </c>
      <c r="D36" s="7" t="s">
        <v>187</v>
      </c>
      <c r="E36" s="7" t="s">
        <v>39</v>
      </c>
    </row>
    <row r="37" spans="1:5" x14ac:dyDescent="0.2">
      <c r="A37" s="7">
        <v>1</v>
      </c>
      <c r="B37" s="7" t="s">
        <v>40</v>
      </c>
      <c r="C37" s="7" t="str">
        <f>CONCATENATE(REPT("     ",UseCase.Scenario.Heating!A37)," ",UseCase.Scenario.Heating!B37)</f>
        <v xml:space="preserve">      quality</v>
      </c>
      <c r="D37" s="7" t="s">
        <v>187</v>
      </c>
      <c r="E37" s="7" t="s">
        <v>41</v>
      </c>
    </row>
    <row r="38" spans="1:5" x14ac:dyDescent="0.2">
      <c r="A38" s="7">
        <v>1</v>
      </c>
      <c r="B38" s="7" t="s">
        <v>42</v>
      </c>
      <c r="C38" s="7" t="str">
        <f>CONCATENATE(REPT("     ",UseCase.Scenario.Heating!A38)," ",UseCase.Scenario.Heating!B38)</f>
        <v xml:space="preserve">      regulatory</v>
      </c>
      <c r="D38" s="7" t="s">
        <v>187</v>
      </c>
      <c r="E38" s="7" t="s">
        <v>43</v>
      </c>
    </row>
    <row r="39" spans="1:5" x14ac:dyDescent="0.2">
      <c r="A39" s="7">
        <v>1</v>
      </c>
      <c r="B39" s="7" t="s">
        <v>44</v>
      </c>
      <c r="C39" s="7" t="str">
        <f>CONCATENATE(REPT("     ",UseCase.Scenario.Heating!A39)," ",UseCase.Scenario.Heating!B39)</f>
        <v xml:space="preserve">      time to market</v>
      </c>
      <c r="D39" s="7" t="s">
        <v>187</v>
      </c>
      <c r="E39" s="7" t="s">
        <v>45</v>
      </c>
    </row>
    <row r="40" spans="1:5" ht="30" x14ac:dyDescent="0.2">
      <c r="A40" s="7">
        <v>1</v>
      </c>
      <c r="B40" s="7" t="s">
        <v>46</v>
      </c>
      <c r="C40" s="7" t="str">
        <f>CONCATENATE(REPT("     ",UseCase.Scenario.Heating!A40)," ",UseCase.Scenario.Heating!B40)</f>
        <v xml:space="preserve">      utility</v>
      </c>
      <c r="D40" s="7" t="s">
        <v>187</v>
      </c>
      <c r="E40" s="7" t="s">
        <v>47</v>
      </c>
    </row>
    <row r="41" spans="1:5" x14ac:dyDescent="0.2">
      <c r="A41" s="7">
        <v>1</v>
      </c>
      <c r="B41" s="7" t="s">
        <v>196</v>
      </c>
      <c r="C41" s="7" t="str">
        <f>CONCATENATE(REPT("     ",UseCase.Scenario.Heating!A41)," ",UseCase.Scenario.Heating!B41)</f>
        <v xml:space="preserve">      Planning</v>
      </c>
      <c r="D41" s="7"/>
      <c r="E41" s="7" t="s">
        <v>211</v>
      </c>
    </row>
    <row r="42" spans="1:5" x14ac:dyDescent="0.2">
      <c r="A42" s="5">
        <v>0</v>
      </c>
      <c r="B42" s="5" t="s">
        <v>5</v>
      </c>
      <c r="C42" s="5" t="str">
        <f>CONCATENATE(REPT("     ",UseCase.Scenario.Heating!A42)," ",UseCase.Scenario.Heating!B42)</f>
        <v xml:space="preserve"> Human</v>
      </c>
      <c r="D42" s="5" t="s">
        <v>187</v>
      </c>
      <c r="E42" s="6" t="s">
        <v>117</v>
      </c>
    </row>
    <row r="43" spans="1:5" x14ac:dyDescent="0.2">
      <c r="A43" s="7">
        <v>1</v>
      </c>
      <c r="B43" s="7" t="s">
        <v>48</v>
      </c>
      <c r="C43" s="7" t="str">
        <f>CONCATENATE(REPT("     ",UseCase.Scenario.Heating!A43)," ",UseCase.Scenario.Heating!B43)</f>
        <v xml:space="preserve">      human factors</v>
      </c>
      <c r="D43" s="7" t="s">
        <v>187</v>
      </c>
      <c r="E43" s="7" t="s">
        <v>49</v>
      </c>
    </row>
    <row r="44" spans="1:5" ht="45" x14ac:dyDescent="0.2">
      <c r="A44" s="7">
        <v>1</v>
      </c>
      <c r="B44" s="7" t="s">
        <v>50</v>
      </c>
      <c r="C44" s="7" t="str">
        <f>CONCATENATE(REPT("     ",UseCase.Scenario.Heating!A44)," ",UseCase.Scenario.Heating!B44)</f>
        <v xml:space="preserve">      usability</v>
      </c>
      <c r="D44" s="7" t="s">
        <v>187</v>
      </c>
      <c r="E44" s="7" t="s">
        <v>51</v>
      </c>
    </row>
    <row r="45" spans="1:5" x14ac:dyDescent="0.2">
      <c r="A45" s="5">
        <v>0</v>
      </c>
      <c r="B45" s="5" t="s">
        <v>6</v>
      </c>
      <c r="C45" s="5" t="str">
        <f>CONCATENATE(REPT("     ",UseCase.Scenario.Heating!A45)," ",UseCase.Scenario.Heating!B45)</f>
        <v xml:space="preserve"> Trustworthiness</v>
      </c>
      <c r="D45" s="5" t="s">
        <v>187</v>
      </c>
      <c r="E45" s="6" t="s">
        <v>118</v>
      </c>
    </row>
    <row r="46" spans="1:5" ht="75" x14ac:dyDescent="0.2">
      <c r="A46" s="7">
        <v>1</v>
      </c>
      <c r="B46" s="7" t="s">
        <v>52</v>
      </c>
      <c r="C46" s="7" t="str">
        <f>CONCATENATE(REPT("     ",UseCase.Scenario.Heating!A46)," ",UseCase.Scenario.Heating!B46)</f>
        <v xml:space="preserve">      privacy</v>
      </c>
      <c r="D46" s="7" t="s">
        <v>187</v>
      </c>
      <c r="E46" s="7" t="s">
        <v>53</v>
      </c>
    </row>
    <row r="47" spans="1:5" x14ac:dyDescent="0.2">
      <c r="A47" s="7">
        <v>1</v>
      </c>
      <c r="B47" s="7" t="s">
        <v>54</v>
      </c>
      <c r="C47" s="7" t="str">
        <f>CONCATENATE(REPT("     ",UseCase.Scenario.Heating!A47)," ",UseCase.Scenario.Heating!B47)</f>
        <v xml:space="preserve">      reliability</v>
      </c>
      <c r="D47" s="7" t="s">
        <v>187</v>
      </c>
      <c r="E47" s="7" t="s">
        <v>55</v>
      </c>
    </row>
    <row r="48" spans="1:5" ht="30" x14ac:dyDescent="0.2">
      <c r="A48" s="7">
        <v>1</v>
      </c>
      <c r="B48" s="7" t="s">
        <v>56</v>
      </c>
      <c r="C48" s="7" t="str">
        <f>CONCATENATE(REPT("     ",UseCase.Scenario.Heating!A48)," ",UseCase.Scenario.Heating!B48)</f>
        <v xml:space="preserve">      resilience</v>
      </c>
      <c r="D48" s="7" t="s">
        <v>187</v>
      </c>
      <c r="E48" s="7" t="s">
        <v>57</v>
      </c>
    </row>
    <row r="49" spans="1:5" ht="30" x14ac:dyDescent="0.2">
      <c r="A49" s="7">
        <v>1</v>
      </c>
      <c r="B49" s="7" t="s">
        <v>58</v>
      </c>
      <c r="C49" s="7" t="str">
        <f>CONCATENATE(REPT("     ",UseCase.Scenario.Heating!A49)," ",UseCase.Scenario.Heating!B49)</f>
        <v xml:space="preserve">      safety</v>
      </c>
      <c r="D49" s="7" t="s">
        <v>187</v>
      </c>
      <c r="E49" s="7" t="s">
        <v>59</v>
      </c>
    </row>
    <row r="50" spans="1:5" ht="75" x14ac:dyDescent="0.2">
      <c r="A50" s="7">
        <v>1</v>
      </c>
      <c r="B50" s="7" t="s">
        <v>60</v>
      </c>
      <c r="C50" s="7" t="str">
        <f>CONCATENATE(REPT("     ",UseCase.Scenario.Heating!A50)," ",UseCase.Scenario.Heating!B50)</f>
        <v xml:space="preserve">      security</v>
      </c>
      <c r="D50" s="7" t="s">
        <v>187</v>
      </c>
      <c r="E50" s="7" t="s">
        <v>113</v>
      </c>
    </row>
    <row r="51" spans="1:5" x14ac:dyDescent="0.2">
      <c r="A51" s="7">
        <v>2</v>
      </c>
      <c r="B51" s="7" t="s">
        <v>108</v>
      </c>
      <c r="C51" s="7" t="str">
        <f>CONCATENATE(REPT("     ",UseCase.Scenario.Heating!A51)," ",UseCase.Scenario.Heating!B51)</f>
        <v xml:space="preserve">           cybersecurity</v>
      </c>
      <c r="D51" s="7" t="s">
        <v>187</v>
      </c>
      <c r="E51" s="7" t="s">
        <v>228</v>
      </c>
    </row>
    <row r="52" spans="1:5" x14ac:dyDescent="0.2">
      <c r="A52" s="7">
        <v>3</v>
      </c>
      <c r="B52" s="7" t="s">
        <v>107</v>
      </c>
      <c r="C52" s="7" t="str">
        <f>CONCATENATE(REPT("     ",UseCase.Scenario.Heating!A52)," ",UseCase.Scenario.Heating!B52)</f>
        <v xml:space="preserve">                confidentiality</v>
      </c>
      <c r="D52" s="7" t="s">
        <v>187</v>
      </c>
      <c r="E52" s="7" t="s">
        <v>112</v>
      </c>
    </row>
    <row r="53" spans="1:5" x14ac:dyDescent="0.2">
      <c r="A53" s="7">
        <v>3</v>
      </c>
      <c r="B53" s="7" t="s">
        <v>110</v>
      </c>
      <c r="C53" s="7" t="str">
        <f>CONCATENATE(REPT("     ",UseCase.Scenario.Heating!A53)," ",UseCase.Scenario.Heating!B53)</f>
        <v xml:space="preserve">                integrity</v>
      </c>
      <c r="D53" s="7" t="s">
        <v>187</v>
      </c>
      <c r="E53" s="7" t="s">
        <v>215</v>
      </c>
    </row>
    <row r="54" spans="1:5" x14ac:dyDescent="0.2">
      <c r="A54" s="7">
        <v>3</v>
      </c>
      <c r="B54" s="7" t="s">
        <v>111</v>
      </c>
      <c r="C54" s="7" t="str">
        <f>CONCATENATE(REPT("     ",UseCase.Scenario.Heating!A54)," ",UseCase.Scenario.Heating!B54)</f>
        <v xml:space="preserve">                availability</v>
      </c>
      <c r="D54" s="7" t="s">
        <v>187</v>
      </c>
      <c r="E54" s="7" t="s">
        <v>114</v>
      </c>
    </row>
    <row r="55" spans="1:5" x14ac:dyDescent="0.2">
      <c r="A55" s="7">
        <v>2</v>
      </c>
      <c r="B55" s="7" t="s">
        <v>109</v>
      </c>
      <c r="C55" s="7" t="str">
        <f>CONCATENATE(REPT("     ",UseCase.Scenario.Heating!A55)," ",UseCase.Scenario.Heating!B55)</f>
        <v xml:space="preserve">           physicalsecurity</v>
      </c>
      <c r="D55" s="7" t="s">
        <v>187</v>
      </c>
      <c r="E55" s="7" t="s">
        <v>214</v>
      </c>
    </row>
    <row r="56" spans="1:5" ht="30" x14ac:dyDescent="0.2">
      <c r="A56" s="5">
        <v>0</v>
      </c>
      <c r="B56" s="5" t="s">
        <v>7</v>
      </c>
      <c r="C56" s="5" t="str">
        <f>CONCATENATE(REPT("     ",UseCase.Scenario.Heating!A56)," ",UseCase.Scenario.Heating!B56)</f>
        <v xml:space="preserve"> Timing</v>
      </c>
      <c r="D56" s="5" t="s">
        <v>187</v>
      </c>
      <c r="E56" s="6" t="s">
        <v>119</v>
      </c>
    </row>
    <row r="57" spans="1:5" x14ac:dyDescent="0.2">
      <c r="A57" s="7">
        <v>1</v>
      </c>
      <c r="B57" s="7" t="s">
        <v>61</v>
      </c>
      <c r="C57" s="7" t="str">
        <f>CONCATENATE(REPT("     ",UseCase.Scenario.Heating!A57)," ",UseCase.Scenario.Heating!B57)</f>
        <v xml:space="preserve">      logical time</v>
      </c>
      <c r="D57" s="7" t="s">
        <v>187</v>
      </c>
      <c r="E57" s="7" t="s">
        <v>62</v>
      </c>
    </row>
    <row r="58" spans="1:5" ht="60" x14ac:dyDescent="0.2">
      <c r="A58" s="7">
        <v>1</v>
      </c>
      <c r="B58" s="7" t="s">
        <v>63</v>
      </c>
      <c r="C58" s="7" t="str">
        <f>CONCATENATE(REPT("     ",UseCase.Scenario.Heating!A58)," ",UseCase.Scenario.Heating!B58)</f>
        <v xml:space="preserve">      managing timing and latency</v>
      </c>
      <c r="D58" s="7" t="s">
        <v>187</v>
      </c>
      <c r="E58" s="7" t="s">
        <v>64</v>
      </c>
    </row>
    <row r="59" spans="1:5" ht="30" x14ac:dyDescent="0.2">
      <c r="A59" s="7">
        <v>1</v>
      </c>
      <c r="B59" s="7" t="s">
        <v>65</v>
      </c>
      <c r="C59" s="7" t="str">
        <f>CONCATENATE(REPT("     ",UseCase.Scenario.Heating!A59)," ",UseCase.Scenario.Heating!B59)</f>
        <v xml:space="preserve">      synchronization</v>
      </c>
      <c r="D59" s="7" t="s">
        <v>187</v>
      </c>
      <c r="E59" s="7" t="s">
        <v>66</v>
      </c>
    </row>
    <row r="60" spans="1:5" ht="30" x14ac:dyDescent="0.2">
      <c r="A60" s="7">
        <v>1</v>
      </c>
      <c r="B60" s="7" t="s">
        <v>67</v>
      </c>
      <c r="C60" s="7" t="str">
        <f>CONCATENATE(REPT("     ",UseCase.Scenario.Heating!A60)," ",UseCase.Scenario.Heating!B60)</f>
        <v xml:space="preserve">      time awareness</v>
      </c>
      <c r="D60" s="7" t="s">
        <v>187</v>
      </c>
      <c r="E60" s="7" t="s">
        <v>68</v>
      </c>
    </row>
    <row r="61" spans="1:5" ht="45" x14ac:dyDescent="0.2">
      <c r="A61" s="7">
        <v>1</v>
      </c>
      <c r="B61" s="7" t="s">
        <v>69</v>
      </c>
      <c r="C61" s="7" t="str">
        <f>CONCATENATE(REPT("     ",UseCase.Scenario.Heating!A61)," ",UseCase.Scenario.Heating!B61)</f>
        <v xml:space="preserve">      time-interval and latency control</v>
      </c>
      <c r="D61" s="7" t="s">
        <v>187</v>
      </c>
      <c r="E61" s="7" t="s">
        <v>70</v>
      </c>
    </row>
    <row r="62" spans="1:5" x14ac:dyDescent="0.2">
      <c r="A62" s="5">
        <v>0</v>
      </c>
      <c r="B62" s="5" t="s">
        <v>8</v>
      </c>
      <c r="C62" s="5" t="str">
        <f>CONCATENATE(REPT("     ",UseCase.Scenario.Heating!A62)," ",UseCase.Scenario.Heating!B62)</f>
        <v xml:space="preserve"> Data</v>
      </c>
      <c r="D62" s="5" t="s">
        <v>187</v>
      </c>
      <c r="E62" s="6" t="s">
        <v>120</v>
      </c>
    </row>
    <row r="63" spans="1:5" x14ac:dyDescent="0.2">
      <c r="A63" s="7">
        <v>1</v>
      </c>
      <c r="B63" s="7" t="s">
        <v>71</v>
      </c>
      <c r="C63" s="7" t="str">
        <f>CONCATENATE(REPT("     ",UseCase.Scenario.Heating!A63)," ",UseCase.Scenario.Heating!B63)</f>
        <v xml:space="preserve">      data semantics</v>
      </c>
      <c r="D63" s="7" t="s">
        <v>187</v>
      </c>
      <c r="E63" s="7" t="s">
        <v>72</v>
      </c>
    </row>
    <row r="64" spans="1:5" x14ac:dyDescent="0.2">
      <c r="A64" s="7">
        <v>2</v>
      </c>
      <c r="B64" s="7" t="s">
        <v>134</v>
      </c>
      <c r="C64" s="7" t="str">
        <f>CONCATENATE(REPT("     ",UseCase.Scenario.Heating!A64)," ",UseCase.Scenario.Heating!B64)</f>
        <v xml:space="preserve">           data models</v>
      </c>
      <c r="D64" s="7" t="s">
        <v>187</v>
      </c>
      <c r="E64" s="7" t="s">
        <v>141</v>
      </c>
    </row>
    <row r="65" spans="1:5" x14ac:dyDescent="0.2">
      <c r="A65" s="7">
        <v>2</v>
      </c>
      <c r="B65" s="7" t="s">
        <v>135</v>
      </c>
      <c r="C65" s="7" t="str">
        <f>CONCATENATE(REPT("     ",UseCase.Scenario.Heating!A65)," ",UseCase.Scenario.Heating!B65)</f>
        <v xml:space="preserve">           granularity</v>
      </c>
      <c r="D65" s="7" t="s">
        <v>187</v>
      </c>
      <c r="E65" s="7" t="s">
        <v>148</v>
      </c>
    </row>
    <row r="66" spans="1:5" x14ac:dyDescent="0.2">
      <c r="A66" s="7">
        <v>2</v>
      </c>
      <c r="B66" s="7" t="s">
        <v>136</v>
      </c>
      <c r="C66" s="7" t="str">
        <f>CONCATENATE(REPT("     ",UseCase.Scenario.Heating!A66)," ",UseCase.Scenario.Heating!B66)</f>
        <v xml:space="preserve">           meaning</v>
      </c>
      <c r="D66" s="7" t="s">
        <v>187</v>
      </c>
      <c r="E66" s="7" t="s">
        <v>149</v>
      </c>
    </row>
    <row r="67" spans="1:5" ht="30" x14ac:dyDescent="0.2">
      <c r="A67" s="7">
        <v>1</v>
      </c>
      <c r="B67" s="7" t="s">
        <v>73</v>
      </c>
      <c r="C67" s="7" t="str">
        <f>CONCATENATE(REPT("     ",UseCase.Scenario.Heating!A67)," ",UseCase.Scenario.Heating!B67)</f>
        <v xml:space="preserve">      identity</v>
      </c>
      <c r="D67" s="7" t="s">
        <v>187</v>
      </c>
      <c r="E67" s="7" t="s">
        <v>74</v>
      </c>
    </row>
    <row r="68" spans="1:5" ht="30" x14ac:dyDescent="0.2">
      <c r="A68" s="7">
        <v>2</v>
      </c>
      <c r="B68" s="7" t="s">
        <v>216</v>
      </c>
      <c r="C68" s="7" t="str">
        <f>CONCATENATE(REPT("     ",UseCase.Scenario.Heating!A68)," ",UseCase.Scenario.Heating!B68)</f>
        <v xml:space="preserve">           resourceIdentification</v>
      </c>
      <c r="D68" s="7" t="s">
        <v>198</v>
      </c>
      <c r="E68" s="7" t="s">
        <v>150</v>
      </c>
    </row>
    <row r="69" spans="1:5" x14ac:dyDescent="0.2">
      <c r="A69" s="7">
        <v>3</v>
      </c>
      <c r="B69" s="7" t="s">
        <v>217</v>
      </c>
      <c r="C69" s="7" t="str">
        <f>CONCATENATE(REPT("     ",UseCase.Scenario.Heating!A69)," ",UseCase.Scenario.Heating!B69)</f>
        <v xml:space="preserve">                userIdentification</v>
      </c>
      <c r="D69" s="7" t="s">
        <v>199</v>
      </c>
      <c r="E69" s="7" t="s">
        <v>229</v>
      </c>
    </row>
    <row r="70" spans="1:5" ht="30" x14ac:dyDescent="0.2">
      <c r="A70" s="7">
        <v>3</v>
      </c>
      <c r="B70" s="7" t="s">
        <v>218</v>
      </c>
      <c r="C70" s="7" t="str">
        <f>CONCATENATE(REPT("     ",UseCase.Scenario.Heating!A70)," ",UseCase.Scenario.Heating!B70)</f>
        <v xml:space="preserve">                deviceIdentification</v>
      </c>
      <c r="D70" s="7" t="s">
        <v>200</v>
      </c>
      <c r="E70" s="7" t="s">
        <v>230</v>
      </c>
    </row>
    <row r="71" spans="1:5" ht="30" x14ac:dyDescent="0.2">
      <c r="A71" s="7">
        <v>3</v>
      </c>
      <c r="B71" s="7" t="s">
        <v>219</v>
      </c>
      <c r="C71" s="7" t="str">
        <f>CONCATENATE(REPT("     ",UseCase.Scenario.Heating!A71)," ",UseCase.Scenario.Heating!B71)</f>
        <v xml:space="preserve">                objectIdentification</v>
      </c>
      <c r="D71" s="7" t="s">
        <v>201</v>
      </c>
      <c r="E71" s="7" t="s">
        <v>231</v>
      </c>
    </row>
    <row r="72" spans="1:5" x14ac:dyDescent="0.2">
      <c r="A72" s="7">
        <v>3</v>
      </c>
      <c r="B72" s="7" t="s">
        <v>220</v>
      </c>
      <c r="C72" s="7" t="str">
        <f>CONCATENATE(REPT("     ",UseCase.Scenario.Heating!A72)," ",UseCase.Scenario.Heating!B72)</f>
        <v xml:space="preserve">                classIdentification</v>
      </c>
      <c r="D72" s="7"/>
      <c r="E72" s="7" t="s">
        <v>232</v>
      </c>
    </row>
    <row r="73" spans="1:5" x14ac:dyDescent="0.2">
      <c r="A73" s="7">
        <v>2</v>
      </c>
      <c r="B73" s="7" t="s">
        <v>137</v>
      </c>
      <c r="C73" s="7" t="str">
        <f>CONCATENATE(REPT("     ",UseCase.Scenario.Heating!A73)," ",UseCase.Scenario.Heating!B73)</f>
        <v xml:space="preserve">           authentication</v>
      </c>
      <c r="D73" s="7" t="s">
        <v>187</v>
      </c>
      <c r="E73" s="7" t="s">
        <v>151</v>
      </c>
    </row>
    <row r="74" spans="1:5" x14ac:dyDescent="0.2">
      <c r="A74" s="7">
        <v>2</v>
      </c>
      <c r="B74" s="7" t="s">
        <v>138</v>
      </c>
      <c r="C74" s="7" t="str">
        <f>CONCATENATE(REPT("     ",UseCase.Scenario.Heating!A74)," ",UseCase.Scenario.Heating!B74)</f>
        <v xml:space="preserve">           authorization</v>
      </c>
      <c r="D74" s="7" t="s">
        <v>187</v>
      </c>
      <c r="E74" s="7" t="s">
        <v>152</v>
      </c>
    </row>
    <row r="75" spans="1:5" x14ac:dyDescent="0.2">
      <c r="A75" s="7">
        <v>2</v>
      </c>
      <c r="B75" s="7" t="s">
        <v>139</v>
      </c>
      <c r="C75" s="7" t="str">
        <f>CONCATENATE(REPT("     ",UseCase.Scenario.Heating!A75)," ",UseCase.Scenario.Heating!B75)</f>
        <v xml:space="preserve">           verification</v>
      </c>
      <c r="D75" s="7" t="s">
        <v>187</v>
      </c>
      <c r="E75" s="7" t="s">
        <v>153</v>
      </c>
    </row>
    <row r="76" spans="1:5" x14ac:dyDescent="0.2">
      <c r="A76" s="7">
        <v>2</v>
      </c>
      <c r="B76" s="7" t="s">
        <v>110</v>
      </c>
      <c r="C76" s="7" t="str">
        <f>CONCATENATE(REPT("     ",UseCase.Scenario.Heating!A76)," ",UseCase.Scenario.Heating!B76)</f>
        <v xml:space="preserve">           integrity</v>
      </c>
      <c r="D76" s="7" t="s">
        <v>187</v>
      </c>
      <c r="E76" s="7" t="s">
        <v>154</v>
      </c>
    </row>
    <row r="77" spans="1:5" x14ac:dyDescent="0.2">
      <c r="A77" s="7">
        <v>2</v>
      </c>
      <c r="B77" s="7" t="s">
        <v>221</v>
      </c>
      <c r="C77" s="7" t="str">
        <f>CONCATENATE(REPT("     ",UseCase.Scenario.Heating!A77)," ",UseCase.Scenario.Heating!B77)</f>
        <v xml:space="preserve">           configuration</v>
      </c>
      <c r="D77" s="7" t="s">
        <v>187</v>
      </c>
      <c r="E77" s="7" t="s">
        <v>155</v>
      </c>
    </row>
    <row r="78" spans="1:5" x14ac:dyDescent="0.2">
      <c r="A78" s="7">
        <v>2</v>
      </c>
      <c r="B78" s="7" t="s">
        <v>140</v>
      </c>
      <c r="C78" s="7" t="str">
        <f>CONCATENATE(REPT("     ",UseCase.Scenario.Heating!A78)," ",UseCase.Scenario.Heating!B78)</f>
        <v xml:space="preserve">           provenance</v>
      </c>
      <c r="D78" s="7" t="s">
        <v>187</v>
      </c>
      <c r="E78" s="7" t="s">
        <v>156</v>
      </c>
    </row>
    <row r="79" spans="1:5" ht="30" x14ac:dyDescent="0.2">
      <c r="A79" s="7">
        <v>1</v>
      </c>
      <c r="B79" s="7" t="s">
        <v>75</v>
      </c>
      <c r="C79" s="7" t="str">
        <f>CONCATENATE(REPT("     ",UseCase.Scenario.Heating!A79)," ",UseCase.Scenario.Heating!B79)</f>
        <v xml:space="preserve">      operations on data</v>
      </c>
      <c r="D79" s="7" t="s">
        <v>187</v>
      </c>
      <c r="E79" s="7" t="s">
        <v>76</v>
      </c>
    </row>
    <row r="80" spans="1:5" x14ac:dyDescent="0.2">
      <c r="A80" s="7">
        <v>2</v>
      </c>
      <c r="B80" s="7" t="s">
        <v>130</v>
      </c>
      <c r="C80" s="7" t="str">
        <f>CONCATENATE(REPT("     ",UseCase.Scenario.Heating!A80)," ",UseCase.Scenario.Heating!B80)</f>
        <v xml:space="preserve">           analytics</v>
      </c>
      <c r="D80" s="7" t="s">
        <v>187</v>
      </c>
      <c r="E80" s="7" t="s">
        <v>130</v>
      </c>
    </row>
    <row r="81" spans="1:5" x14ac:dyDescent="0.2">
      <c r="A81" s="7">
        <v>2</v>
      </c>
      <c r="B81" s="7" t="s">
        <v>125</v>
      </c>
      <c r="C81" s="7" t="str">
        <f>CONCATENATE(REPT("     ",UseCase.Scenario.Heating!A81)," ",UseCase.Scenario.Heating!B81)</f>
        <v xml:space="preserve">           fusion</v>
      </c>
      <c r="D81" s="7" t="s">
        <v>187</v>
      </c>
      <c r="E81" s="7" t="s">
        <v>127</v>
      </c>
    </row>
    <row r="82" spans="1:5" x14ac:dyDescent="0.2">
      <c r="A82" s="7">
        <v>2</v>
      </c>
      <c r="B82" s="7" t="s">
        <v>131</v>
      </c>
      <c r="C82" s="7" t="str">
        <f>CONCATENATE(REPT("     ",UseCase.Scenario.Heating!A82)," ",UseCase.Scenario.Heating!B82)</f>
        <v xml:space="preserve">           storage</v>
      </c>
      <c r="D82" s="7" t="s">
        <v>187</v>
      </c>
      <c r="E82" s="7" t="s">
        <v>128</v>
      </c>
    </row>
    <row r="83" spans="1:5" ht="30" x14ac:dyDescent="0.2">
      <c r="A83" s="7">
        <v>2</v>
      </c>
      <c r="B83" s="7" t="s">
        <v>132</v>
      </c>
      <c r="C83" s="7" t="str">
        <f>CONCATENATE(REPT("     ",UseCase.Scenario.Heating!A83)," ",UseCase.Scenario.Heating!B83)</f>
        <v xml:space="preserve">           aggregation/disaggregation</v>
      </c>
      <c r="D83" s="7" t="s">
        <v>187</v>
      </c>
      <c r="E83" s="7" t="s">
        <v>158</v>
      </c>
    </row>
    <row r="84" spans="1:5" x14ac:dyDescent="0.2">
      <c r="A84" s="7">
        <v>2</v>
      </c>
      <c r="B84" s="7" t="s">
        <v>133</v>
      </c>
      <c r="C84" s="7" t="str">
        <f>CONCATENATE(REPT("     ",UseCase.Scenario.Heating!A84)," ",UseCase.Scenario.Heating!B84)</f>
        <v xml:space="preserve">           transformation</v>
      </c>
      <c r="D84" s="7" t="s">
        <v>187</v>
      </c>
      <c r="E84" s="7" t="s">
        <v>157</v>
      </c>
    </row>
    <row r="85" spans="1:5" ht="30" x14ac:dyDescent="0.2">
      <c r="A85" s="7">
        <v>1</v>
      </c>
      <c r="B85" s="7" t="s">
        <v>77</v>
      </c>
      <c r="C85" s="7" t="str">
        <f>CONCATENATE(REPT("     ",UseCase.Scenario.Heating!A85)," ",UseCase.Scenario.Heating!B85)</f>
        <v xml:space="preserve">      relationship between data</v>
      </c>
      <c r="D85" s="7" t="s">
        <v>187</v>
      </c>
      <c r="E85" s="7" t="s">
        <v>78</v>
      </c>
    </row>
    <row r="86" spans="1:5" x14ac:dyDescent="0.2">
      <c r="A86" s="7">
        <v>2</v>
      </c>
      <c r="B86" s="7" t="s">
        <v>142</v>
      </c>
      <c r="C86" s="7" t="str">
        <f>CONCATENATE(REPT("     ",UseCase.Scenario.Heating!A86)," ",UseCase.Scenario.Heating!B86)</f>
        <v xml:space="preserve">           time of data</v>
      </c>
      <c r="D86" s="7" t="s">
        <v>187</v>
      </c>
      <c r="E86" s="7" t="s">
        <v>159</v>
      </c>
    </row>
    <row r="87" spans="1:5" ht="45" x14ac:dyDescent="0.2">
      <c r="A87" s="7">
        <v>2</v>
      </c>
      <c r="B87" s="7" t="s">
        <v>143</v>
      </c>
      <c r="C87" s="7" t="str">
        <f>CONCATENATE(REPT("     ",UseCase.Scenario.Heating!A87)," ",UseCase.Scenario.Heating!B87)</f>
        <v xml:space="preserve">           related data (including metadata)</v>
      </c>
      <c r="D87" s="7" t="s">
        <v>187</v>
      </c>
      <c r="E87" s="7" t="s">
        <v>160</v>
      </c>
    </row>
    <row r="88" spans="1:5" x14ac:dyDescent="0.2">
      <c r="A88" s="7">
        <v>2</v>
      </c>
      <c r="B88" s="7" t="s">
        <v>144</v>
      </c>
      <c r="C88" s="7" t="str">
        <f>CONCATENATE(REPT("     ",UseCase.Scenario.Heating!A88)," ",UseCase.Scenario.Heating!B88)</f>
        <v xml:space="preserve">           location of data</v>
      </c>
      <c r="D88" s="7" t="s">
        <v>187</v>
      </c>
      <c r="E88" s="7" t="s">
        <v>144</v>
      </c>
    </row>
    <row r="89" spans="1:5" x14ac:dyDescent="0.2">
      <c r="A89" s="7">
        <v>2</v>
      </c>
      <c r="B89" s="7" t="s">
        <v>145</v>
      </c>
      <c r="C89" s="7" t="str">
        <f>CONCATENATE(REPT("     ",UseCase.Scenario.Heating!A89)," ",UseCase.Scenario.Heating!B89)</f>
        <v xml:space="preserve">           inheritance</v>
      </c>
      <c r="D89" s="7" t="s">
        <v>187</v>
      </c>
      <c r="E89" s="7" t="s">
        <v>161</v>
      </c>
    </row>
    <row r="90" spans="1:5" x14ac:dyDescent="0.2">
      <c r="A90" s="7">
        <v>2</v>
      </c>
      <c r="B90" s="7" t="s">
        <v>146</v>
      </c>
      <c r="C90" s="7" t="str">
        <f>CONCATENATE(REPT("     ",UseCase.Scenario.Heating!A90)," ",UseCase.Scenario.Heating!B90)</f>
        <v xml:space="preserve">           polymorphism</v>
      </c>
      <c r="D90" s="7" t="s">
        <v>187</v>
      </c>
      <c r="E90" s="7" t="s">
        <v>162</v>
      </c>
    </row>
    <row r="91" spans="1:5" ht="30" x14ac:dyDescent="0.2">
      <c r="A91" s="7">
        <v>2</v>
      </c>
      <c r="B91" s="7" t="s">
        <v>163</v>
      </c>
      <c r="C91" s="7" t="str">
        <f>CONCATENATE(REPT("     ",UseCase.Scenario.Heating!A91)," ",UseCase.Scenario.Heating!B91)</f>
        <v xml:space="preserve">           directionality of relationships</v>
      </c>
      <c r="D91" s="7" t="s">
        <v>187</v>
      </c>
      <c r="E91" s="7" t="s">
        <v>147</v>
      </c>
    </row>
    <row r="92" spans="1:5" x14ac:dyDescent="0.2">
      <c r="A92" s="7">
        <v>2</v>
      </c>
      <c r="B92" s="7" t="s">
        <v>40</v>
      </c>
      <c r="C92" s="7" t="str">
        <f>CONCATENATE(REPT("     ",UseCase.Scenario.Heating!A92)," ",UseCase.Scenario.Heating!B92)</f>
        <v xml:space="preserve">           quality</v>
      </c>
      <c r="D92" s="7" t="s">
        <v>187</v>
      </c>
      <c r="E92" s="7" t="s">
        <v>164</v>
      </c>
    </row>
    <row r="93" spans="1:5" x14ac:dyDescent="0.2">
      <c r="A93" s="7">
        <v>1</v>
      </c>
      <c r="B93" s="7" t="s">
        <v>126</v>
      </c>
      <c r="C93" s="7" t="str">
        <f>CONCATENATE(REPT("     ",UseCase.Scenario.Heating!A93)," ",UseCase.Scenario.Heating!B93)</f>
        <v xml:space="preserve">      velocity</v>
      </c>
      <c r="D93" s="7" t="s">
        <v>187</v>
      </c>
      <c r="E93" s="7" t="s">
        <v>129</v>
      </c>
    </row>
    <row r="94" spans="1:5" ht="13" customHeight="1" x14ac:dyDescent="0.2">
      <c r="A94" s="5">
        <v>0</v>
      </c>
      <c r="B94" s="5" t="s">
        <v>9</v>
      </c>
      <c r="C94" s="5" t="str">
        <f>CONCATENATE(REPT("     ",UseCase.Scenario.Heating!A94)," ",UseCase.Scenario.Heating!B94)</f>
        <v xml:space="preserve"> Boundaries</v>
      </c>
      <c r="D94" s="5" t="s">
        <v>187</v>
      </c>
      <c r="E94" s="6" t="s">
        <v>121</v>
      </c>
    </row>
    <row r="95" spans="1:5" ht="30" x14ac:dyDescent="0.2">
      <c r="A95" s="7">
        <v>1</v>
      </c>
      <c r="B95" s="7" t="s">
        <v>79</v>
      </c>
      <c r="C95" s="7" t="str">
        <f>CONCATENATE(REPT("     ",UseCase.Scenario.Heating!A95)," ",UseCase.Scenario.Heating!B95)</f>
        <v xml:space="preserve">      behavioral</v>
      </c>
      <c r="D95" s="7" t="s">
        <v>187</v>
      </c>
      <c r="E95" s="7" t="s">
        <v>80</v>
      </c>
    </row>
    <row r="96" spans="1:5" x14ac:dyDescent="0.2">
      <c r="A96" s="7">
        <v>1</v>
      </c>
      <c r="B96" s="7" t="s">
        <v>81</v>
      </c>
      <c r="C96" s="7" t="str">
        <f>CONCATENATE(REPT("     ",UseCase.Scenario.Heating!A96)," ",UseCase.Scenario.Heating!B96)</f>
        <v xml:space="preserve">      networkability</v>
      </c>
      <c r="D96" s="7" t="s">
        <v>187</v>
      </c>
      <c r="E96" s="7" t="s">
        <v>82</v>
      </c>
    </row>
    <row r="97" spans="1:5" x14ac:dyDescent="0.2">
      <c r="A97" s="7">
        <v>1</v>
      </c>
      <c r="B97" s="7" t="s">
        <v>83</v>
      </c>
      <c r="C97" s="7" t="str">
        <f>CONCATENATE(REPT("     ",UseCase.Scenario.Heating!A97)," ",UseCase.Scenario.Heating!B97)</f>
        <v xml:space="preserve">      responsibility</v>
      </c>
      <c r="D97" s="7" t="s">
        <v>187</v>
      </c>
      <c r="E97" s="7" t="s">
        <v>84</v>
      </c>
    </row>
    <row r="98" spans="1:5" ht="45" x14ac:dyDescent="0.2">
      <c r="A98" s="5">
        <v>0</v>
      </c>
      <c r="B98" s="5" t="s">
        <v>10</v>
      </c>
      <c r="C98" s="5" t="str">
        <f>CONCATENATE(REPT("     ",UseCase.Scenario.Heating!A98)," ",UseCase.Scenario.Heating!B98)</f>
        <v xml:space="preserve"> Composition</v>
      </c>
      <c r="D98" s="5" t="s">
        <v>187</v>
      </c>
      <c r="E98" s="6" t="s">
        <v>122</v>
      </c>
    </row>
    <row r="99" spans="1:5" ht="30" x14ac:dyDescent="0.2">
      <c r="A99" s="7">
        <v>1</v>
      </c>
      <c r="B99" s="7" t="s">
        <v>85</v>
      </c>
      <c r="C99" s="7" t="str">
        <f>CONCATENATE(REPT("     ",UseCase.Scenario.Heating!A99)," ",UseCase.Scenario.Heating!B99)</f>
        <v xml:space="preserve">      adaptability</v>
      </c>
      <c r="D99" s="7" t="s">
        <v>187</v>
      </c>
      <c r="E99" s="7" t="s">
        <v>86</v>
      </c>
    </row>
    <row r="100" spans="1:5" ht="30" x14ac:dyDescent="0.2">
      <c r="A100" s="7">
        <v>1</v>
      </c>
      <c r="B100" s="7" t="s">
        <v>87</v>
      </c>
      <c r="C100" s="7" t="str">
        <f>CONCATENATE(REPT("     ",UseCase.Scenario.Heating!A100)," ",UseCase.Scenario.Heating!B100)</f>
        <v xml:space="preserve">      complexity</v>
      </c>
      <c r="D100" s="7" t="s">
        <v>187</v>
      </c>
      <c r="E100" s="7" t="s">
        <v>88</v>
      </c>
    </row>
    <row r="101" spans="1:5" x14ac:dyDescent="0.2">
      <c r="A101" s="7">
        <v>1</v>
      </c>
      <c r="B101" s="7" t="s">
        <v>89</v>
      </c>
      <c r="C101" s="7" t="str">
        <f>CONCATENATE(REPT("     ",UseCase.Scenario.Heating!A101)," ",UseCase.Scenario.Heating!B101)</f>
        <v xml:space="preserve">      constructivity</v>
      </c>
      <c r="D101" s="7" t="s">
        <v>187</v>
      </c>
      <c r="E101" s="7" t="s">
        <v>90</v>
      </c>
    </row>
    <row r="102" spans="1:5" ht="45" x14ac:dyDescent="0.2">
      <c r="A102" s="7">
        <v>1</v>
      </c>
      <c r="B102" s="7" t="s">
        <v>91</v>
      </c>
      <c r="C102" s="7" t="str">
        <f>CONCATENATE(REPT("     ",UseCase.Scenario.Heating!A102)," ",UseCase.Scenario.Heating!B102)</f>
        <v xml:space="preserve">      discoverability</v>
      </c>
      <c r="D102" s="7" t="s">
        <v>187</v>
      </c>
      <c r="E102" s="7" t="s">
        <v>92</v>
      </c>
    </row>
    <row r="103" spans="1:5" x14ac:dyDescent="0.2">
      <c r="A103" s="5">
        <v>0</v>
      </c>
      <c r="B103" s="5" t="s">
        <v>11</v>
      </c>
      <c r="C103" s="5" t="str">
        <f>CONCATENATE(REPT("     ",UseCase.Scenario.Heating!A103)," ",UseCase.Scenario.Heating!B103)</f>
        <v xml:space="preserve"> Lifecycle</v>
      </c>
      <c r="D103" s="5" t="s">
        <v>187</v>
      </c>
      <c r="E103" s="6" t="s">
        <v>123</v>
      </c>
    </row>
    <row r="104" spans="1:5" x14ac:dyDescent="0.2">
      <c r="A104" s="7">
        <v>1</v>
      </c>
      <c r="B104" s="7" t="s">
        <v>93</v>
      </c>
      <c r="C104" s="7" t="str">
        <f>CONCATENATE(REPT("     ",UseCase.Scenario.Heating!A104)," ",UseCase.Scenario.Heating!B104)</f>
        <v xml:space="preserve">      deployability</v>
      </c>
      <c r="D104" s="7" t="s">
        <v>187</v>
      </c>
      <c r="E104" s="7" t="s">
        <v>94</v>
      </c>
    </row>
    <row r="105" spans="1:5" x14ac:dyDescent="0.2">
      <c r="A105" s="7">
        <v>1</v>
      </c>
      <c r="B105" s="7" t="s">
        <v>95</v>
      </c>
      <c r="C105" s="7" t="str">
        <f>CONCATENATE(REPT("     ",UseCase.Scenario.Heating!A105)," ",UseCase.Scenario.Heating!B105)</f>
        <v xml:space="preserve">      disposability</v>
      </c>
      <c r="D105" s="7" t="s">
        <v>187</v>
      </c>
      <c r="E105" s="7" t="s">
        <v>96</v>
      </c>
    </row>
    <row r="106" spans="1:5" ht="30" x14ac:dyDescent="0.2">
      <c r="A106" s="7">
        <v>1</v>
      </c>
      <c r="B106" s="7" t="s">
        <v>97</v>
      </c>
      <c r="C106" s="7" t="str">
        <f>CONCATENATE(REPT("     ",UseCase.Scenario.Heating!A106)," ",UseCase.Scenario.Heating!B106)</f>
        <v xml:space="preserve">      engineerability</v>
      </c>
      <c r="D106" s="7" t="s">
        <v>187</v>
      </c>
      <c r="E106" s="7" t="s">
        <v>98</v>
      </c>
    </row>
    <row r="107" spans="1:5" x14ac:dyDescent="0.2">
      <c r="A107" s="7">
        <v>1</v>
      </c>
      <c r="B107" s="7" t="s">
        <v>99</v>
      </c>
      <c r="C107" s="7" t="str">
        <f>CONCATENATE(REPT("     ",UseCase.Scenario.Heating!A107)," ",UseCase.Scenario.Heating!B107)</f>
        <v xml:space="preserve">      maintainability</v>
      </c>
      <c r="D107" s="7" t="s">
        <v>187</v>
      </c>
      <c r="E107" s="7" t="s">
        <v>100</v>
      </c>
    </row>
    <row r="108" spans="1:5" x14ac:dyDescent="0.2">
      <c r="A108" s="7">
        <v>1</v>
      </c>
      <c r="B108" s="7" t="s">
        <v>101</v>
      </c>
      <c r="C108" s="7" t="str">
        <f>CONCATENATE(REPT("     ",UseCase.Scenario.Heating!A108)," ",UseCase.Scenario.Heating!B108)</f>
        <v xml:space="preserve">      operatability</v>
      </c>
      <c r="D108" s="7" t="s">
        <v>187</v>
      </c>
      <c r="E108" s="7" t="s">
        <v>102</v>
      </c>
    </row>
    <row r="109" spans="1:5" x14ac:dyDescent="0.2">
      <c r="A109" s="7">
        <v>1</v>
      </c>
      <c r="B109" s="7" t="s">
        <v>103</v>
      </c>
      <c r="C109" s="7" t="str">
        <f>CONCATENATE(REPT("     ",UseCase.Scenario.Heating!A109)," ",UseCase.Scenario.Heating!B109)</f>
        <v xml:space="preserve">      procureability</v>
      </c>
      <c r="D109" s="7" t="s">
        <v>187</v>
      </c>
      <c r="E109" s="7" t="s">
        <v>104</v>
      </c>
    </row>
    <row r="110" spans="1:5" x14ac:dyDescent="0.2">
      <c r="A110" s="7">
        <v>1</v>
      </c>
      <c r="B110" s="7" t="s">
        <v>105</v>
      </c>
      <c r="C110" s="7" t="str">
        <f>CONCATENATE(REPT("     ",UseCase.Scenario.Heating!A110)," ",UseCase.Scenario.Heating!B110)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J110"/>
  <sheetViews>
    <sheetView zoomScale="85" zoomScaleNormal="85" zoomScalePageLayoutView="85" workbookViewId="0">
      <pane ySplit="4" topLeftCell="A5" activePane="bottomLeft" state="frozen"/>
      <selection pane="bottomLeft" activeCell="G29" sqref="G29"/>
    </sheetView>
  </sheetViews>
  <sheetFormatPr baseColWidth="10" defaultColWidth="8.83203125" defaultRowHeight="15" x14ac:dyDescent="0.2"/>
  <cols>
    <col min="1" max="1" width="15.33203125" style="3" customWidth="1"/>
    <col min="2" max="2" width="15.33203125" style="3" hidden="1" customWidth="1"/>
    <col min="3" max="3" width="40.5" style="3" customWidth="1"/>
    <col min="4" max="4" width="40.5" style="3" hidden="1" customWidth="1"/>
    <col min="5" max="5" width="105.83203125" style="3" customWidth="1"/>
    <col min="6" max="7" width="50.33203125" style="3" customWidth="1"/>
    <col min="8" max="8" width="12.6640625" style="3" customWidth="1"/>
    <col min="9" max="9" width="35.5" style="3" customWidth="1"/>
    <col min="10" max="10" width="82.1640625" style="3" customWidth="1"/>
    <col min="11" max="16384" width="8.83203125" style="3"/>
  </cols>
  <sheetData>
    <row r="1" spans="1:10" ht="34" x14ac:dyDescent="0.2">
      <c r="A1" s="8">
        <f ca="1">NOW()</f>
        <v>42636.659261111112</v>
      </c>
      <c r="E1" s="4" t="s">
        <v>124</v>
      </c>
    </row>
    <row r="3" spans="1:10" x14ac:dyDescent="0.2">
      <c r="F3" s="9" t="s">
        <v>238</v>
      </c>
      <c r="G3" s="9"/>
      <c r="H3" s="9"/>
      <c r="I3" s="9"/>
      <c r="J3" s="9"/>
    </row>
    <row r="4" spans="1:10" s="2" customFormat="1" ht="24" x14ac:dyDescent="0.2">
      <c r="A4" s="1" t="s">
        <v>0</v>
      </c>
      <c r="B4" s="1" t="s">
        <v>165</v>
      </c>
      <c r="C4" s="1" t="s">
        <v>225</v>
      </c>
      <c r="D4" s="1" t="s">
        <v>186</v>
      </c>
      <c r="E4" s="1" t="s">
        <v>1</v>
      </c>
      <c r="F4" s="2" t="s">
        <v>235</v>
      </c>
      <c r="G4" s="2" t="s">
        <v>236</v>
      </c>
      <c r="H4" s="2" t="s">
        <v>237</v>
      </c>
      <c r="I4" s="2" t="s">
        <v>233</v>
      </c>
      <c r="J4" s="2" t="s">
        <v>234</v>
      </c>
    </row>
    <row r="5" spans="1:10" x14ac:dyDescent="0.2">
      <c r="A5" s="5">
        <v>0</v>
      </c>
      <c r="B5" s="5" t="s">
        <v>3</v>
      </c>
      <c r="C5" s="5" t="str">
        <f>CONCATENATE(REPT("     ",UseCase.Scenario.Cooling!A5)," ",UseCase.Scenario.Cooling!B5)</f>
        <v xml:space="preserve"> Functional</v>
      </c>
      <c r="D5" s="5" t="s">
        <v>187</v>
      </c>
      <c r="E5" s="6" t="s">
        <v>115</v>
      </c>
    </row>
    <row r="6" spans="1:10" x14ac:dyDescent="0.2">
      <c r="A6" s="7">
        <v>1</v>
      </c>
      <c r="B6" s="7" t="s">
        <v>12</v>
      </c>
      <c r="C6" s="7" t="str">
        <f>CONCATENATE(REPT("     ",UseCase.Scenario.Cooling!A6)," ",UseCase.Scenario.Cooling!B6)</f>
        <v xml:space="preserve">      actuation</v>
      </c>
      <c r="D6" s="7" t="s">
        <v>187</v>
      </c>
      <c r="E6" s="7" t="s">
        <v>13</v>
      </c>
    </row>
    <row r="7" spans="1:10" x14ac:dyDescent="0.2">
      <c r="A7" s="7">
        <v>1</v>
      </c>
      <c r="B7" s="7" t="s">
        <v>14</v>
      </c>
      <c r="C7" s="7" t="str">
        <f>CONCATENATE(REPT("     ",UseCase.Scenario.Cooling!A7)," ",UseCase.Scenario.Cooling!B7)</f>
        <v xml:space="preserve">      communication</v>
      </c>
      <c r="D7" s="7" t="s">
        <v>187</v>
      </c>
      <c r="E7" s="7" t="s">
        <v>15</v>
      </c>
    </row>
    <row r="8" spans="1:10" ht="30" x14ac:dyDescent="0.2">
      <c r="A8" s="7">
        <v>2</v>
      </c>
      <c r="B8" s="7" t="s">
        <v>166</v>
      </c>
      <c r="C8" s="7" t="str">
        <f>CONCATENATE(REPT("     ",UseCase.Scenario.Cooling!A8)," ",UseCase.Scenario.Cooling!B8)</f>
        <v xml:space="preserve">           Syntactic Interoperability</v>
      </c>
      <c r="D8" s="7" t="s">
        <v>167</v>
      </c>
      <c r="E8" s="7" t="s">
        <v>202</v>
      </c>
    </row>
    <row r="9" spans="1:10" x14ac:dyDescent="0.2">
      <c r="A9" s="7">
        <v>3</v>
      </c>
      <c r="B9" s="7" t="s">
        <v>168</v>
      </c>
      <c r="C9" s="7" t="str">
        <f>CONCATENATE(REPT("     ",UseCase.Scenario.Cooling!A9)," ",UseCase.Scenario.Cooling!B9)</f>
        <v xml:space="preserve">                OSI-Application</v>
      </c>
      <c r="D9" s="7" t="s">
        <v>169</v>
      </c>
      <c r="E9" s="7" t="s">
        <v>203</v>
      </c>
    </row>
    <row r="10" spans="1:10" x14ac:dyDescent="0.2">
      <c r="A10" s="7">
        <v>3</v>
      </c>
      <c r="B10" s="7" t="s">
        <v>170</v>
      </c>
      <c r="C10" s="7" t="str">
        <f>CONCATENATE(REPT("     ",UseCase.Scenario.Cooling!A10)," ",UseCase.Scenario.Cooling!B10)</f>
        <v xml:space="preserve">                OSI-Presentation</v>
      </c>
      <c r="D10" s="7" t="s">
        <v>171</v>
      </c>
      <c r="E10" s="7" t="s">
        <v>204</v>
      </c>
    </row>
    <row r="11" spans="1:10" ht="30" x14ac:dyDescent="0.2">
      <c r="A11" s="7">
        <v>2</v>
      </c>
      <c r="B11" s="7" t="s">
        <v>172</v>
      </c>
      <c r="C11" s="7" t="str">
        <f>CONCATENATE(REPT("     ",UseCase.Scenario.Cooling!A11)," ",UseCase.Scenario.Cooling!B11)</f>
        <v xml:space="preserve">           Network Interoperability</v>
      </c>
      <c r="D11" s="7" t="s">
        <v>173</v>
      </c>
      <c r="E11" s="7" t="s">
        <v>205</v>
      </c>
    </row>
    <row r="12" spans="1:10" x14ac:dyDescent="0.2">
      <c r="A12" s="7">
        <v>3</v>
      </c>
      <c r="B12" s="7" t="s">
        <v>174</v>
      </c>
      <c r="C12" s="7" t="str">
        <f>CONCATENATE(REPT("     ",UseCase.Scenario.Cooling!A12)," ",UseCase.Scenario.Cooling!B12)</f>
        <v xml:space="preserve">                OSI-Session</v>
      </c>
      <c r="D12" s="7" t="s">
        <v>175</v>
      </c>
      <c r="E12" s="7" t="s">
        <v>226</v>
      </c>
    </row>
    <row r="13" spans="1:10" x14ac:dyDescent="0.2">
      <c r="A13" s="7">
        <v>3</v>
      </c>
      <c r="B13" s="7" t="s">
        <v>176</v>
      </c>
      <c r="C13" s="7" t="str">
        <f>CONCATENATE(REPT("     ",UseCase.Scenario.Cooling!A13)," ",UseCase.Scenario.Cooling!B13)</f>
        <v xml:space="preserve">                OSI-Transport</v>
      </c>
      <c r="D13" s="7" t="s">
        <v>177</v>
      </c>
      <c r="E13" s="7" t="s">
        <v>206</v>
      </c>
    </row>
    <row r="14" spans="1:10" x14ac:dyDescent="0.2">
      <c r="A14" s="7">
        <v>3</v>
      </c>
      <c r="B14" s="7" t="s">
        <v>178</v>
      </c>
      <c r="C14" s="7" t="str">
        <f>CONCATENATE(REPT("     ",UseCase.Scenario.Cooling!A14)," ",UseCase.Scenario.Cooling!B14)</f>
        <v xml:space="preserve">                OSI-Network</v>
      </c>
      <c r="D14" s="7" t="s">
        <v>179</v>
      </c>
      <c r="E14" s="7" t="s">
        <v>207</v>
      </c>
    </row>
    <row r="15" spans="1:10" x14ac:dyDescent="0.2">
      <c r="A15" s="7">
        <v>2</v>
      </c>
      <c r="B15" s="7" t="s">
        <v>180</v>
      </c>
      <c r="C15" s="7" t="str">
        <f>CONCATENATE(REPT("     ",UseCase.Scenario.Cooling!A15)," ",UseCase.Scenario.Cooling!B15)</f>
        <v xml:space="preserve">           Basic Connectivity</v>
      </c>
      <c r="D15" s="7" t="s">
        <v>181</v>
      </c>
      <c r="E15" s="7" t="s">
        <v>208</v>
      </c>
    </row>
    <row r="16" spans="1:10" x14ac:dyDescent="0.2">
      <c r="A16" s="7">
        <v>3</v>
      </c>
      <c r="B16" s="7" t="s">
        <v>182</v>
      </c>
      <c r="C16" s="7" t="str">
        <f>CONCATENATE(REPT("     ",UseCase.Scenario.Cooling!A16)," ",UseCase.Scenario.Cooling!B16)</f>
        <v xml:space="preserve">                OSI-Data Link</v>
      </c>
      <c r="D16" s="7" t="s">
        <v>183</v>
      </c>
      <c r="E16" s="7" t="s">
        <v>209</v>
      </c>
    </row>
    <row r="17" spans="1:5" x14ac:dyDescent="0.2">
      <c r="A17" s="7">
        <v>3</v>
      </c>
      <c r="B17" s="7" t="s">
        <v>184</v>
      </c>
      <c r="C17" s="7" t="str">
        <f>CONCATENATE(REPT("     ",UseCase.Scenario.Cooling!A17)," ",UseCase.Scenario.Cooling!B17)</f>
        <v xml:space="preserve">                OSI-Physical</v>
      </c>
      <c r="D17" s="7" t="s">
        <v>185</v>
      </c>
      <c r="E17" s="7" t="s">
        <v>210</v>
      </c>
    </row>
    <row r="18" spans="1:5" ht="45" x14ac:dyDescent="0.2">
      <c r="A18" s="7">
        <v>1</v>
      </c>
      <c r="B18" s="7" t="s">
        <v>16</v>
      </c>
      <c r="C18" s="7" t="str">
        <f>CONCATENATE(REPT("     ",UseCase.Scenario.Cooling!A18)," ",UseCase.Scenario.Cooling!B18)</f>
        <v xml:space="preserve">      controllability</v>
      </c>
      <c r="D18" s="7" t="s">
        <v>187</v>
      </c>
      <c r="E18" s="7" t="s">
        <v>17</v>
      </c>
    </row>
    <row r="19" spans="1:5" x14ac:dyDescent="0.2">
      <c r="A19" s="7">
        <v>1</v>
      </c>
      <c r="B19" s="7" t="s">
        <v>18</v>
      </c>
      <c r="C19" s="7" t="str">
        <f>CONCATENATE(REPT("     ",UseCase.Scenario.Cooling!A19)," ",UseCase.Scenario.Cooling!B19)</f>
        <v xml:space="preserve">      functionality</v>
      </c>
      <c r="D19" s="7" t="s">
        <v>187</v>
      </c>
      <c r="E19" s="7" t="s">
        <v>19</v>
      </c>
    </row>
    <row r="20" spans="1:5" x14ac:dyDescent="0.2">
      <c r="A20" s="7">
        <v>1</v>
      </c>
      <c r="B20" s="7" t="s">
        <v>20</v>
      </c>
      <c r="C20" s="7" t="str">
        <f>CONCATENATE(REPT("     ",UseCase.Scenario.Cooling!A20)," ",UseCase.Scenario.Cooling!B20)</f>
        <v xml:space="preserve">      measurability</v>
      </c>
      <c r="D20" s="7" t="s">
        <v>187</v>
      </c>
      <c r="E20" s="7" t="s">
        <v>21</v>
      </c>
    </row>
    <row r="21" spans="1:5" ht="30" x14ac:dyDescent="0.2">
      <c r="A21" s="7">
        <v>1</v>
      </c>
      <c r="B21" s="7" t="s">
        <v>22</v>
      </c>
      <c r="C21" s="7" t="str">
        <f>CONCATENATE(REPT("     ",UseCase.Scenario.Cooling!A21)," ",UseCase.Scenario.Cooling!B21)</f>
        <v xml:space="preserve">      monitorability</v>
      </c>
      <c r="D21" s="7" t="s">
        <v>187</v>
      </c>
      <c r="E21" s="7" t="s">
        <v>23</v>
      </c>
    </row>
    <row r="22" spans="1:5" x14ac:dyDescent="0.2">
      <c r="A22" s="7">
        <v>1</v>
      </c>
      <c r="B22" s="7" t="s">
        <v>24</v>
      </c>
      <c r="C22" s="7" t="str">
        <f>CONCATENATE(REPT("     ",UseCase.Scenario.Cooling!A22)," ",UseCase.Scenario.Cooling!B22)</f>
        <v xml:space="preserve">      performance</v>
      </c>
      <c r="D22" s="7" t="s">
        <v>187</v>
      </c>
      <c r="E22" s="7" t="s">
        <v>25</v>
      </c>
    </row>
    <row r="23" spans="1:5" x14ac:dyDescent="0.2">
      <c r="A23" s="7">
        <v>1</v>
      </c>
      <c r="B23" s="7" t="s">
        <v>26</v>
      </c>
      <c r="C23" s="7" t="str">
        <f>CONCATENATE(REPT("     ",UseCase.Scenario.Cooling!A23)," ",UseCase.Scenario.Cooling!B23)</f>
        <v xml:space="preserve">      physical</v>
      </c>
      <c r="D23" s="7" t="s">
        <v>187</v>
      </c>
      <c r="E23" s="7" t="s">
        <v>27</v>
      </c>
    </row>
    <row r="24" spans="1:5" ht="45" x14ac:dyDescent="0.2">
      <c r="A24" s="7">
        <v>1</v>
      </c>
      <c r="B24" s="7" t="s">
        <v>28</v>
      </c>
      <c r="C24" s="7" t="str">
        <f>CONCATENATE(REPT("     ",UseCase.Scenario.Cooling!A24)," ",UseCase.Scenario.Cooling!B24)</f>
        <v xml:space="preserve">      physical context</v>
      </c>
      <c r="D24" s="7" t="s">
        <v>187</v>
      </c>
      <c r="E24" s="7" t="s">
        <v>29</v>
      </c>
    </row>
    <row r="25" spans="1:5" x14ac:dyDescent="0.2">
      <c r="A25" s="7">
        <v>1</v>
      </c>
      <c r="B25" s="7" t="s">
        <v>30</v>
      </c>
      <c r="C25" s="7" t="str">
        <f>CONCATENATE(REPT("     ",UseCase.Scenario.Cooling!A25)," ",UseCase.Scenario.Cooling!B25)</f>
        <v xml:space="preserve">      sensing</v>
      </c>
      <c r="D25" s="7" t="s">
        <v>187</v>
      </c>
      <c r="E25" s="7" t="s">
        <v>31</v>
      </c>
    </row>
    <row r="26" spans="1:5" ht="90" x14ac:dyDescent="0.2">
      <c r="A26" s="7">
        <v>1</v>
      </c>
      <c r="B26" s="7" t="s">
        <v>32</v>
      </c>
      <c r="C26" s="7" t="str">
        <f>CONCATENATE(REPT("     ",UseCase.Scenario.Cooling!A26)," ",UseCase.Scenario.Cooling!B26)</f>
        <v xml:space="preserve">      uncertainty</v>
      </c>
      <c r="D26" s="7" t="s">
        <v>187</v>
      </c>
      <c r="E26" s="7" t="s">
        <v>33</v>
      </c>
    </row>
    <row r="27" spans="1:5" x14ac:dyDescent="0.2">
      <c r="A27" s="7">
        <v>1</v>
      </c>
      <c r="B27" s="7" t="s">
        <v>188</v>
      </c>
      <c r="C27" s="7" t="str">
        <f>CONCATENATE(REPT("     ",UseCase.Scenario.Cooling!A27)," ",UseCase.Scenario.Cooling!B27)</f>
        <v xml:space="preserve">      statesAndModes</v>
      </c>
      <c r="D27" s="7" t="s">
        <v>189</v>
      </c>
      <c r="E27" s="7" t="s">
        <v>224</v>
      </c>
    </row>
    <row r="28" spans="1:5" x14ac:dyDescent="0.2">
      <c r="A28" s="7">
        <v>1</v>
      </c>
      <c r="B28" s="7" t="s">
        <v>222</v>
      </c>
      <c r="C28" s="7" t="str">
        <f>CONCATENATE(REPT("     ",UseCase.Scenario.Cooling!A28)," ",UseCase.Scenario.Cooling!B28)</f>
        <v xml:space="preserve">      manageability</v>
      </c>
      <c r="D28" s="7"/>
      <c r="E28" s="7" t="s">
        <v>223</v>
      </c>
    </row>
    <row r="29" spans="1:5" ht="44" customHeight="1" x14ac:dyDescent="0.2">
      <c r="A29" s="7">
        <v>2</v>
      </c>
      <c r="B29" s="7" t="s">
        <v>194</v>
      </c>
      <c r="C29" s="7" t="str">
        <f>CONCATENATE(REPT("     ",UseCase.Scenario.Cooling!A29)," ",UseCase.Scenario.Cooling!B29)</f>
        <v xml:space="preserve">           configurationManagement</v>
      </c>
      <c r="D29" s="7" t="s">
        <v>190</v>
      </c>
      <c r="E29" s="7" t="s">
        <v>227</v>
      </c>
    </row>
    <row r="30" spans="1:5" ht="30" x14ac:dyDescent="0.2">
      <c r="A30" s="7">
        <v>2</v>
      </c>
      <c r="B30" s="7" t="s">
        <v>195</v>
      </c>
      <c r="C30" s="7" t="str">
        <f>CONCATENATE(REPT("     ",UseCase.Scenario.Cooling!A30)," ",UseCase.Scenario.Cooling!B30)</f>
        <v xml:space="preserve">           configurationForLeastFFunctionality</v>
      </c>
      <c r="D30" s="7" t="s">
        <v>191</v>
      </c>
      <c r="E30" s="7" t="s">
        <v>212</v>
      </c>
    </row>
    <row r="31" spans="1:5" ht="30" x14ac:dyDescent="0.2">
      <c r="A31" s="7">
        <v>2</v>
      </c>
      <c r="B31" s="7" t="s">
        <v>192</v>
      </c>
      <c r="C31" s="7" t="str">
        <f>CONCATENATE(REPT("     ",UseCase.Scenario.Cooling!A31)," ",UseCase.Scenario.Cooling!B31)</f>
        <v xml:space="preserve">           Component Inventory</v>
      </c>
      <c r="D31" s="7" t="s">
        <v>193</v>
      </c>
      <c r="E31" s="7" t="s">
        <v>213</v>
      </c>
    </row>
    <row r="32" spans="1:5" x14ac:dyDescent="0.2">
      <c r="A32" s="5">
        <v>0</v>
      </c>
      <c r="B32" s="5" t="s">
        <v>4</v>
      </c>
      <c r="C32" s="5" t="str">
        <f>CONCATENATE(REPT("     ",UseCase.Scenario.Cooling!A32)," ",UseCase.Scenario.Cooling!B32)</f>
        <v xml:space="preserve"> Business</v>
      </c>
      <c r="D32" s="5" t="s">
        <v>187</v>
      </c>
      <c r="E32" s="6" t="s">
        <v>116</v>
      </c>
    </row>
    <row r="33" spans="1:5" x14ac:dyDescent="0.2">
      <c r="A33" s="7">
        <v>1</v>
      </c>
      <c r="B33" s="7" t="s">
        <v>34</v>
      </c>
      <c r="C33" s="7" t="str">
        <f>CONCATENATE(REPT("     ",UseCase.Scenario.Cooling!A33)," ",UseCase.Scenario.Cooling!B33)</f>
        <v xml:space="preserve">      enterprise</v>
      </c>
      <c r="D33" s="7" t="s">
        <v>187</v>
      </c>
      <c r="E33" s="7" t="s">
        <v>35</v>
      </c>
    </row>
    <row r="34" spans="1:5" x14ac:dyDescent="0.2">
      <c r="A34" s="7">
        <v>1</v>
      </c>
      <c r="B34" s="7" t="s">
        <v>2</v>
      </c>
      <c r="C34" s="7" t="str">
        <f>CONCATENATE(REPT("     ",UseCase.Scenario.Cooling!A34)," ",UseCase.Scenario.Cooling!B34)</f>
        <v xml:space="preserve">      cost</v>
      </c>
      <c r="D34" s="7" t="s">
        <v>187</v>
      </c>
      <c r="E34" s="7" t="s">
        <v>36</v>
      </c>
    </row>
    <row r="35" spans="1:5" x14ac:dyDescent="0.2">
      <c r="A35" s="7">
        <v>1</v>
      </c>
      <c r="B35" s="7" t="s">
        <v>37</v>
      </c>
      <c r="C35" s="7" t="str">
        <f>CONCATENATE(REPT("     ",UseCase.Scenario.Cooling!A35)," ",UseCase.Scenario.Cooling!B35)</f>
        <v xml:space="preserve">      environment</v>
      </c>
      <c r="D35" s="7" t="s">
        <v>187</v>
      </c>
      <c r="E35" s="7" t="s">
        <v>197</v>
      </c>
    </row>
    <row r="36" spans="1:5" x14ac:dyDescent="0.2">
      <c r="A36" s="7">
        <v>1</v>
      </c>
      <c r="B36" s="7" t="s">
        <v>38</v>
      </c>
      <c r="C36" s="7" t="str">
        <f>CONCATENATE(REPT("     ",UseCase.Scenario.Cooling!A36)," ",UseCase.Scenario.Cooling!B36)</f>
        <v xml:space="preserve">      policy</v>
      </c>
      <c r="D36" s="7" t="s">
        <v>187</v>
      </c>
      <c r="E36" s="7" t="s">
        <v>39</v>
      </c>
    </row>
    <row r="37" spans="1:5" x14ac:dyDescent="0.2">
      <c r="A37" s="7">
        <v>1</v>
      </c>
      <c r="B37" s="7" t="s">
        <v>40</v>
      </c>
      <c r="C37" s="7" t="str">
        <f>CONCATENATE(REPT("     ",UseCase.Scenario.Cooling!A37)," ",UseCase.Scenario.Cooling!B37)</f>
        <v xml:space="preserve">      quality</v>
      </c>
      <c r="D37" s="7" t="s">
        <v>187</v>
      </c>
      <c r="E37" s="7" t="s">
        <v>41</v>
      </c>
    </row>
    <row r="38" spans="1:5" x14ac:dyDescent="0.2">
      <c r="A38" s="7">
        <v>1</v>
      </c>
      <c r="B38" s="7" t="s">
        <v>42</v>
      </c>
      <c r="C38" s="7" t="str">
        <f>CONCATENATE(REPT("     ",UseCase.Scenario.Cooling!A38)," ",UseCase.Scenario.Cooling!B38)</f>
        <v xml:space="preserve">      regulatory</v>
      </c>
      <c r="D38" s="7" t="s">
        <v>187</v>
      </c>
      <c r="E38" s="7" t="s">
        <v>43</v>
      </c>
    </row>
    <row r="39" spans="1:5" x14ac:dyDescent="0.2">
      <c r="A39" s="7">
        <v>1</v>
      </c>
      <c r="B39" s="7" t="s">
        <v>44</v>
      </c>
      <c r="C39" s="7" t="str">
        <f>CONCATENATE(REPT("     ",UseCase.Scenario.Cooling!A39)," ",UseCase.Scenario.Cooling!B39)</f>
        <v xml:space="preserve">      time to market</v>
      </c>
      <c r="D39" s="7" t="s">
        <v>187</v>
      </c>
      <c r="E39" s="7" t="s">
        <v>45</v>
      </c>
    </row>
    <row r="40" spans="1:5" ht="30" x14ac:dyDescent="0.2">
      <c r="A40" s="7">
        <v>1</v>
      </c>
      <c r="B40" s="7" t="s">
        <v>46</v>
      </c>
      <c r="C40" s="7" t="str">
        <f>CONCATENATE(REPT("     ",UseCase.Scenario.Cooling!A40)," ",UseCase.Scenario.Cooling!B40)</f>
        <v xml:space="preserve">      utility</v>
      </c>
      <c r="D40" s="7" t="s">
        <v>187</v>
      </c>
      <c r="E40" s="7" t="s">
        <v>47</v>
      </c>
    </row>
    <row r="41" spans="1:5" x14ac:dyDescent="0.2">
      <c r="A41" s="7">
        <v>1</v>
      </c>
      <c r="B41" s="7" t="s">
        <v>196</v>
      </c>
      <c r="C41" s="7" t="str">
        <f>CONCATENATE(REPT("     ",UseCase.Scenario.Cooling!A41)," ",UseCase.Scenario.Cooling!B41)</f>
        <v xml:space="preserve">      Planning</v>
      </c>
      <c r="D41" s="7"/>
      <c r="E41" s="7" t="s">
        <v>211</v>
      </c>
    </row>
    <row r="42" spans="1:5" x14ac:dyDescent="0.2">
      <c r="A42" s="5">
        <v>0</v>
      </c>
      <c r="B42" s="5" t="s">
        <v>5</v>
      </c>
      <c r="C42" s="5" t="str">
        <f>CONCATENATE(REPT("     ",UseCase.Scenario.Cooling!A42)," ",UseCase.Scenario.Cooling!B42)</f>
        <v xml:space="preserve"> Human</v>
      </c>
      <c r="D42" s="5" t="s">
        <v>187</v>
      </c>
      <c r="E42" s="6" t="s">
        <v>117</v>
      </c>
    </row>
    <row r="43" spans="1:5" x14ac:dyDescent="0.2">
      <c r="A43" s="7">
        <v>1</v>
      </c>
      <c r="B43" s="7" t="s">
        <v>48</v>
      </c>
      <c r="C43" s="7" t="str">
        <f>CONCATENATE(REPT("     ",UseCase.Scenario.Cooling!A43)," ",UseCase.Scenario.Cooling!B43)</f>
        <v xml:space="preserve">      human factors</v>
      </c>
      <c r="D43" s="7" t="s">
        <v>187</v>
      </c>
      <c r="E43" s="7" t="s">
        <v>49</v>
      </c>
    </row>
    <row r="44" spans="1:5" ht="45" x14ac:dyDescent="0.2">
      <c r="A44" s="7">
        <v>1</v>
      </c>
      <c r="B44" s="7" t="s">
        <v>50</v>
      </c>
      <c r="C44" s="7" t="str">
        <f>CONCATENATE(REPT("     ",UseCase.Scenario.Cooling!A44)," ",UseCase.Scenario.Cooling!B44)</f>
        <v xml:space="preserve">      usability</v>
      </c>
      <c r="D44" s="7" t="s">
        <v>187</v>
      </c>
      <c r="E44" s="7" t="s">
        <v>51</v>
      </c>
    </row>
    <row r="45" spans="1:5" x14ac:dyDescent="0.2">
      <c r="A45" s="5">
        <v>0</v>
      </c>
      <c r="B45" s="5" t="s">
        <v>6</v>
      </c>
      <c r="C45" s="5" t="str">
        <f>CONCATENATE(REPT("     ",UseCase.Scenario.Cooling!A45)," ",UseCase.Scenario.Cooling!B45)</f>
        <v xml:space="preserve"> Trustworthiness</v>
      </c>
      <c r="D45" s="5" t="s">
        <v>187</v>
      </c>
      <c r="E45" s="6" t="s">
        <v>118</v>
      </c>
    </row>
    <row r="46" spans="1:5" ht="75" x14ac:dyDescent="0.2">
      <c r="A46" s="7">
        <v>1</v>
      </c>
      <c r="B46" s="7" t="s">
        <v>52</v>
      </c>
      <c r="C46" s="7" t="str">
        <f>CONCATENATE(REPT("     ",UseCase.Scenario.Cooling!A46)," ",UseCase.Scenario.Cooling!B46)</f>
        <v xml:space="preserve">      privacy</v>
      </c>
      <c r="D46" s="7" t="s">
        <v>187</v>
      </c>
      <c r="E46" s="7" t="s">
        <v>53</v>
      </c>
    </row>
    <row r="47" spans="1:5" x14ac:dyDescent="0.2">
      <c r="A47" s="7">
        <v>1</v>
      </c>
      <c r="B47" s="7" t="s">
        <v>54</v>
      </c>
      <c r="C47" s="7" t="str">
        <f>CONCATENATE(REPT("     ",UseCase.Scenario.Cooling!A47)," ",UseCase.Scenario.Cooling!B47)</f>
        <v xml:space="preserve">      reliability</v>
      </c>
      <c r="D47" s="7" t="s">
        <v>187</v>
      </c>
      <c r="E47" s="7" t="s">
        <v>55</v>
      </c>
    </row>
    <row r="48" spans="1:5" ht="30" x14ac:dyDescent="0.2">
      <c r="A48" s="7">
        <v>1</v>
      </c>
      <c r="B48" s="7" t="s">
        <v>56</v>
      </c>
      <c r="C48" s="7" t="str">
        <f>CONCATENATE(REPT("     ",UseCase.Scenario.Cooling!A48)," ",UseCase.Scenario.Cooling!B48)</f>
        <v xml:space="preserve">      resilience</v>
      </c>
      <c r="D48" s="7" t="s">
        <v>187</v>
      </c>
      <c r="E48" s="7" t="s">
        <v>57</v>
      </c>
    </row>
    <row r="49" spans="1:5" ht="30" x14ac:dyDescent="0.2">
      <c r="A49" s="7">
        <v>1</v>
      </c>
      <c r="B49" s="7" t="s">
        <v>58</v>
      </c>
      <c r="C49" s="7" t="str">
        <f>CONCATENATE(REPT("     ",UseCase.Scenario.Cooling!A49)," ",UseCase.Scenario.Cooling!B49)</f>
        <v xml:space="preserve">      safety</v>
      </c>
      <c r="D49" s="7" t="s">
        <v>187</v>
      </c>
      <c r="E49" s="7" t="s">
        <v>59</v>
      </c>
    </row>
    <row r="50" spans="1:5" ht="75" x14ac:dyDescent="0.2">
      <c r="A50" s="7">
        <v>1</v>
      </c>
      <c r="B50" s="7" t="s">
        <v>60</v>
      </c>
      <c r="C50" s="7" t="str">
        <f>CONCATENATE(REPT("     ",UseCase.Scenario.Cooling!A50)," ",UseCase.Scenario.Cooling!B50)</f>
        <v xml:space="preserve">      security</v>
      </c>
      <c r="D50" s="7" t="s">
        <v>187</v>
      </c>
      <c r="E50" s="7" t="s">
        <v>113</v>
      </c>
    </row>
    <row r="51" spans="1:5" x14ac:dyDescent="0.2">
      <c r="A51" s="7">
        <v>2</v>
      </c>
      <c r="B51" s="7" t="s">
        <v>108</v>
      </c>
      <c r="C51" s="7" t="str">
        <f>CONCATENATE(REPT("     ",UseCase.Scenario.Cooling!A51)," ",UseCase.Scenario.Cooling!B51)</f>
        <v xml:space="preserve">           cybersecurity</v>
      </c>
      <c r="D51" s="7" t="s">
        <v>187</v>
      </c>
      <c r="E51" s="7" t="s">
        <v>228</v>
      </c>
    </row>
    <row r="52" spans="1:5" x14ac:dyDescent="0.2">
      <c r="A52" s="7">
        <v>3</v>
      </c>
      <c r="B52" s="7" t="s">
        <v>107</v>
      </c>
      <c r="C52" s="7" t="str">
        <f>CONCATENATE(REPT("     ",UseCase.Scenario.Cooling!A52)," ",UseCase.Scenario.Cooling!B52)</f>
        <v xml:space="preserve">                confidentiality</v>
      </c>
      <c r="D52" s="7" t="s">
        <v>187</v>
      </c>
      <c r="E52" s="7" t="s">
        <v>112</v>
      </c>
    </row>
    <row r="53" spans="1:5" x14ac:dyDescent="0.2">
      <c r="A53" s="7">
        <v>3</v>
      </c>
      <c r="B53" s="7" t="s">
        <v>110</v>
      </c>
      <c r="C53" s="7" t="str">
        <f>CONCATENATE(REPT("     ",UseCase.Scenario.Cooling!A53)," ",UseCase.Scenario.Cooling!B53)</f>
        <v xml:space="preserve">                integrity</v>
      </c>
      <c r="D53" s="7" t="s">
        <v>187</v>
      </c>
      <c r="E53" s="7" t="s">
        <v>215</v>
      </c>
    </row>
    <row r="54" spans="1:5" x14ac:dyDescent="0.2">
      <c r="A54" s="7">
        <v>3</v>
      </c>
      <c r="B54" s="7" t="s">
        <v>111</v>
      </c>
      <c r="C54" s="7" t="str">
        <f>CONCATENATE(REPT("     ",UseCase.Scenario.Cooling!A54)," ",UseCase.Scenario.Cooling!B54)</f>
        <v xml:space="preserve">                availability</v>
      </c>
      <c r="D54" s="7" t="s">
        <v>187</v>
      </c>
      <c r="E54" s="7" t="s">
        <v>114</v>
      </c>
    </row>
    <row r="55" spans="1:5" x14ac:dyDescent="0.2">
      <c r="A55" s="7">
        <v>2</v>
      </c>
      <c r="B55" s="7" t="s">
        <v>109</v>
      </c>
      <c r="C55" s="7" t="str">
        <f>CONCATENATE(REPT("     ",UseCase.Scenario.Cooling!A55)," ",UseCase.Scenario.Cooling!B55)</f>
        <v xml:space="preserve">           physicalsecurity</v>
      </c>
      <c r="D55" s="7" t="s">
        <v>187</v>
      </c>
      <c r="E55" s="7" t="s">
        <v>214</v>
      </c>
    </row>
    <row r="56" spans="1:5" ht="30" x14ac:dyDescent="0.2">
      <c r="A56" s="5">
        <v>0</v>
      </c>
      <c r="B56" s="5" t="s">
        <v>7</v>
      </c>
      <c r="C56" s="5" t="str">
        <f>CONCATENATE(REPT("     ",UseCase.Scenario.Cooling!A56)," ",UseCase.Scenario.Cooling!B56)</f>
        <v xml:space="preserve"> Timing</v>
      </c>
      <c r="D56" s="5" t="s">
        <v>187</v>
      </c>
      <c r="E56" s="6" t="s">
        <v>119</v>
      </c>
    </row>
    <row r="57" spans="1:5" x14ac:dyDescent="0.2">
      <c r="A57" s="7">
        <v>1</v>
      </c>
      <c r="B57" s="7" t="s">
        <v>61</v>
      </c>
      <c r="C57" s="7" t="str">
        <f>CONCATENATE(REPT("     ",UseCase.Scenario.Cooling!A57)," ",UseCase.Scenario.Cooling!B57)</f>
        <v xml:space="preserve">      logical time</v>
      </c>
      <c r="D57" s="7" t="s">
        <v>187</v>
      </c>
      <c r="E57" s="7" t="s">
        <v>62</v>
      </c>
    </row>
    <row r="58" spans="1:5" ht="60" x14ac:dyDescent="0.2">
      <c r="A58" s="7">
        <v>1</v>
      </c>
      <c r="B58" s="7" t="s">
        <v>63</v>
      </c>
      <c r="C58" s="7" t="str">
        <f>CONCATENATE(REPT("     ",UseCase.Scenario.Cooling!A58)," ",UseCase.Scenario.Cooling!B58)</f>
        <v xml:space="preserve">      managing timing and latency</v>
      </c>
      <c r="D58" s="7" t="s">
        <v>187</v>
      </c>
      <c r="E58" s="7" t="s">
        <v>64</v>
      </c>
    </row>
    <row r="59" spans="1:5" ht="30" x14ac:dyDescent="0.2">
      <c r="A59" s="7">
        <v>1</v>
      </c>
      <c r="B59" s="7" t="s">
        <v>65</v>
      </c>
      <c r="C59" s="7" t="str">
        <f>CONCATENATE(REPT("     ",UseCase.Scenario.Cooling!A59)," ",UseCase.Scenario.Cooling!B59)</f>
        <v xml:space="preserve">      synchronization</v>
      </c>
      <c r="D59" s="7" t="s">
        <v>187</v>
      </c>
      <c r="E59" s="7" t="s">
        <v>66</v>
      </c>
    </row>
    <row r="60" spans="1:5" ht="30" x14ac:dyDescent="0.2">
      <c r="A60" s="7">
        <v>1</v>
      </c>
      <c r="B60" s="7" t="s">
        <v>67</v>
      </c>
      <c r="C60" s="7" t="str">
        <f>CONCATENATE(REPT("     ",UseCase.Scenario.Cooling!A60)," ",UseCase.Scenario.Cooling!B60)</f>
        <v xml:space="preserve">      time awareness</v>
      </c>
      <c r="D60" s="7" t="s">
        <v>187</v>
      </c>
      <c r="E60" s="7" t="s">
        <v>68</v>
      </c>
    </row>
    <row r="61" spans="1:5" ht="45" x14ac:dyDescent="0.2">
      <c r="A61" s="7">
        <v>1</v>
      </c>
      <c r="B61" s="7" t="s">
        <v>69</v>
      </c>
      <c r="C61" s="7" t="str">
        <f>CONCATENATE(REPT("     ",UseCase.Scenario.Cooling!A61)," ",UseCase.Scenario.Cooling!B61)</f>
        <v xml:space="preserve">      time-interval and latency control</v>
      </c>
      <c r="D61" s="7" t="s">
        <v>187</v>
      </c>
      <c r="E61" s="7" t="s">
        <v>70</v>
      </c>
    </row>
    <row r="62" spans="1:5" x14ac:dyDescent="0.2">
      <c r="A62" s="5">
        <v>0</v>
      </c>
      <c r="B62" s="5" t="s">
        <v>8</v>
      </c>
      <c r="C62" s="5" t="str">
        <f>CONCATENATE(REPT("     ",UseCase.Scenario.Cooling!A62)," ",UseCase.Scenario.Cooling!B62)</f>
        <v xml:space="preserve"> Data</v>
      </c>
      <c r="D62" s="5" t="s">
        <v>187</v>
      </c>
      <c r="E62" s="6" t="s">
        <v>120</v>
      </c>
    </row>
    <row r="63" spans="1:5" x14ac:dyDescent="0.2">
      <c r="A63" s="7">
        <v>1</v>
      </c>
      <c r="B63" s="7" t="s">
        <v>71</v>
      </c>
      <c r="C63" s="7" t="str">
        <f>CONCATENATE(REPT("     ",UseCase.Scenario.Cooling!A63)," ",UseCase.Scenario.Cooling!B63)</f>
        <v xml:space="preserve">      data semantics</v>
      </c>
      <c r="D63" s="7" t="s">
        <v>187</v>
      </c>
      <c r="E63" s="7" t="s">
        <v>72</v>
      </c>
    </row>
    <row r="64" spans="1:5" x14ac:dyDescent="0.2">
      <c r="A64" s="7">
        <v>2</v>
      </c>
      <c r="B64" s="7" t="s">
        <v>134</v>
      </c>
      <c r="C64" s="7" t="str">
        <f>CONCATENATE(REPT("     ",UseCase.Scenario.Cooling!A64)," ",UseCase.Scenario.Cooling!B64)</f>
        <v xml:space="preserve">           data models</v>
      </c>
      <c r="D64" s="7" t="s">
        <v>187</v>
      </c>
      <c r="E64" s="7" t="s">
        <v>141</v>
      </c>
    </row>
    <row r="65" spans="1:5" x14ac:dyDescent="0.2">
      <c r="A65" s="7">
        <v>2</v>
      </c>
      <c r="B65" s="7" t="s">
        <v>135</v>
      </c>
      <c r="C65" s="7" t="str">
        <f>CONCATENATE(REPT("     ",UseCase.Scenario.Cooling!A65)," ",UseCase.Scenario.Cooling!B65)</f>
        <v xml:space="preserve">           granularity</v>
      </c>
      <c r="D65" s="7" t="s">
        <v>187</v>
      </c>
      <c r="E65" s="7" t="s">
        <v>148</v>
      </c>
    </row>
    <row r="66" spans="1:5" x14ac:dyDescent="0.2">
      <c r="A66" s="7">
        <v>2</v>
      </c>
      <c r="B66" s="7" t="s">
        <v>136</v>
      </c>
      <c r="C66" s="7" t="str">
        <f>CONCATENATE(REPT("     ",UseCase.Scenario.Cooling!A66)," ",UseCase.Scenario.Cooling!B66)</f>
        <v xml:space="preserve">           meaning</v>
      </c>
      <c r="D66" s="7" t="s">
        <v>187</v>
      </c>
      <c r="E66" s="7" t="s">
        <v>149</v>
      </c>
    </row>
    <row r="67" spans="1:5" ht="30" x14ac:dyDescent="0.2">
      <c r="A67" s="7">
        <v>1</v>
      </c>
      <c r="B67" s="7" t="s">
        <v>73</v>
      </c>
      <c r="C67" s="7" t="str">
        <f>CONCATENATE(REPT("     ",UseCase.Scenario.Cooling!A67)," ",UseCase.Scenario.Cooling!B67)</f>
        <v xml:space="preserve">      identity</v>
      </c>
      <c r="D67" s="7" t="s">
        <v>187</v>
      </c>
      <c r="E67" s="7" t="s">
        <v>74</v>
      </c>
    </row>
    <row r="68" spans="1:5" ht="30" x14ac:dyDescent="0.2">
      <c r="A68" s="7">
        <v>2</v>
      </c>
      <c r="B68" s="7" t="s">
        <v>216</v>
      </c>
      <c r="C68" s="7" t="str">
        <f>CONCATENATE(REPT("     ",UseCase.Scenario.Cooling!A68)," ",UseCase.Scenario.Cooling!B68)</f>
        <v xml:space="preserve">           resourceIdentification</v>
      </c>
      <c r="D68" s="7" t="s">
        <v>198</v>
      </c>
      <c r="E68" s="7" t="s">
        <v>150</v>
      </c>
    </row>
    <row r="69" spans="1:5" x14ac:dyDescent="0.2">
      <c r="A69" s="7">
        <v>3</v>
      </c>
      <c r="B69" s="7" t="s">
        <v>217</v>
      </c>
      <c r="C69" s="7" t="str">
        <f>CONCATENATE(REPT("     ",UseCase.Scenario.Cooling!A69)," ",UseCase.Scenario.Cooling!B69)</f>
        <v xml:space="preserve">                userIdentification</v>
      </c>
      <c r="D69" s="7" t="s">
        <v>199</v>
      </c>
      <c r="E69" s="7" t="s">
        <v>229</v>
      </c>
    </row>
    <row r="70" spans="1:5" ht="30" x14ac:dyDescent="0.2">
      <c r="A70" s="7">
        <v>3</v>
      </c>
      <c r="B70" s="7" t="s">
        <v>218</v>
      </c>
      <c r="C70" s="7" t="str">
        <f>CONCATENATE(REPT("     ",UseCase.Scenario.Cooling!A70)," ",UseCase.Scenario.Cooling!B70)</f>
        <v xml:space="preserve">                deviceIdentification</v>
      </c>
      <c r="D70" s="7" t="s">
        <v>200</v>
      </c>
      <c r="E70" s="7" t="s">
        <v>230</v>
      </c>
    </row>
    <row r="71" spans="1:5" ht="30" x14ac:dyDescent="0.2">
      <c r="A71" s="7">
        <v>3</v>
      </c>
      <c r="B71" s="7" t="s">
        <v>219</v>
      </c>
      <c r="C71" s="7" t="str">
        <f>CONCATENATE(REPT("     ",UseCase.Scenario.Cooling!A71)," ",UseCase.Scenario.Cooling!B71)</f>
        <v xml:space="preserve">                objectIdentification</v>
      </c>
      <c r="D71" s="7" t="s">
        <v>201</v>
      </c>
      <c r="E71" s="7" t="s">
        <v>231</v>
      </c>
    </row>
    <row r="72" spans="1:5" x14ac:dyDescent="0.2">
      <c r="A72" s="7">
        <v>3</v>
      </c>
      <c r="B72" s="7" t="s">
        <v>220</v>
      </c>
      <c r="C72" s="7" t="str">
        <f>CONCATENATE(REPT("     ",UseCase.Scenario.Cooling!A72)," ",UseCase.Scenario.Cooling!B72)</f>
        <v xml:space="preserve">                classIdentification</v>
      </c>
      <c r="D72" s="7"/>
      <c r="E72" s="7" t="s">
        <v>232</v>
      </c>
    </row>
    <row r="73" spans="1:5" x14ac:dyDescent="0.2">
      <c r="A73" s="7">
        <v>2</v>
      </c>
      <c r="B73" s="7" t="s">
        <v>137</v>
      </c>
      <c r="C73" s="7" t="str">
        <f>CONCATENATE(REPT("     ",UseCase.Scenario.Cooling!A73)," ",UseCase.Scenario.Cooling!B73)</f>
        <v xml:space="preserve">           authentication</v>
      </c>
      <c r="D73" s="7" t="s">
        <v>187</v>
      </c>
      <c r="E73" s="7" t="s">
        <v>151</v>
      </c>
    </row>
    <row r="74" spans="1:5" x14ac:dyDescent="0.2">
      <c r="A74" s="7">
        <v>2</v>
      </c>
      <c r="B74" s="7" t="s">
        <v>138</v>
      </c>
      <c r="C74" s="7" t="str">
        <f>CONCATENATE(REPT("     ",UseCase.Scenario.Cooling!A74)," ",UseCase.Scenario.Cooling!B74)</f>
        <v xml:space="preserve">           authorization</v>
      </c>
      <c r="D74" s="7" t="s">
        <v>187</v>
      </c>
      <c r="E74" s="7" t="s">
        <v>152</v>
      </c>
    </row>
    <row r="75" spans="1:5" x14ac:dyDescent="0.2">
      <c r="A75" s="7">
        <v>2</v>
      </c>
      <c r="B75" s="7" t="s">
        <v>139</v>
      </c>
      <c r="C75" s="7" t="str">
        <f>CONCATENATE(REPT("     ",UseCase.Scenario.Cooling!A75)," ",UseCase.Scenario.Cooling!B75)</f>
        <v xml:space="preserve">           verification</v>
      </c>
      <c r="D75" s="7" t="s">
        <v>187</v>
      </c>
      <c r="E75" s="7" t="s">
        <v>153</v>
      </c>
    </row>
    <row r="76" spans="1:5" x14ac:dyDescent="0.2">
      <c r="A76" s="7">
        <v>2</v>
      </c>
      <c r="B76" s="7" t="s">
        <v>110</v>
      </c>
      <c r="C76" s="7" t="str">
        <f>CONCATENATE(REPT("     ",UseCase.Scenario.Cooling!A76)," ",UseCase.Scenario.Cooling!B76)</f>
        <v xml:space="preserve">           integrity</v>
      </c>
      <c r="D76" s="7" t="s">
        <v>187</v>
      </c>
      <c r="E76" s="7" t="s">
        <v>154</v>
      </c>
    </row>
    <row r="77" spans="1:5" x14ac:dyDescent="0.2">
      <c r="A77" s="7">
        <v>2</v>
      </c>
      <c r="B77" s="7" t="s">
        <v>221</v>
      </c>
      <c r="C77" s="7" t="str">
        <f>CONCATENATE(REPT("     ",UseCase.Scenario.Cooling!A77)," ",UseCase.Scenario.Cooling!B77)</f>
        <v xml:space="preserve">           configuration</v>
      </c>
      <c r="D77" s="7" t="s">
        <v>187</v>
      </c>
      <c r="E77" s="7" t="s">
        <v>155</v>
      </c>
    </row>
    <row r="78" spans="1:5" x14ac:dyDescent="0.2">
      <c r="A78" s="7">
        <v>2</v>
      </c>
      <c r="B78" s="7" t="s">
        <v>140</v>
      </c>
      <c r="C78" s="7" t="str">
        <f>CONCATENATE(REPT("     ",UseCase.Scenario.Cooling!A78)," ",UseCase.Scenario.Cooling!B78)</f>
        <v xml:space="preserve">           provenance</v>
      </c>
      <c r="D78" s="7" t="s">
        <v>187</v>
      </c>
      <c r="E78" s="7" t="s">
        <v>156</v>
      </c>
    </row>
    <row r="79" spans="1:5" ht="30" x14ac:dyDescent="0.2">
      <c r="A79" s="7">
        <v>1</v>
      </c>
      <c r="B79" s="7" t="s">
        <v>75</v>
      </c>
      <c r="C79" s="7" t="str">
        <f>CONCATENATE(REPT("     ",UseCase.Scenario.Cooling!A79)," ",UseCase.Scenario.Cooling!B79)</f>
        <v xml:space="preserve">      operations on data</v>
      </c>
      <c r="D79" s="7" t="s">
        <v>187</v>
      </c>
      <c r="E79" s="7" t="s">
        <v>76</v>
      </c>
    </row>
    <row r="80" spans="1:5" x14ac:dyDescent="0.2">
      <c r="A80" s="7">
        <v>2</v>
      </c>
      <c r="B80" s="7" t="s">
        <v>130</v>
      </c>
      <c r="C80" s="7" t="str">
        <f>CONCATENATE(REPT("     ",UseCase.Scenario.Cooling!A80)," ",UseCase.Scenario.Cooling!B80)</f>
        <v xml:space="preserve">           analytics</v>
      </c>
      <c r="D80" s="7" t="s">
        <v>187</v>
      </c>
      <c r="E80" s="7" t="s">
        <v>130</v>
      </c>
    </row>
    <row r="81" spans="1:5" x14ac:dyDescent="0.2">
      <c r="A81" s="7">
        <v>2</v>
      </c>
      <c r="B81" s="7" t="s">
        <v>125</v>
      </c>
      <c r="C81" s="7" t="str">
        <f>CONCATENATE(REPT("     ",UseCase.Scenario.Cooling!A81)," ",UseCase.Scenario.Cooling!B81)</f>
        <v xml:space="preserve">           fusion</v>
      </c>
      <c r="D81" s="7" t="s">
        <v>187</v>
      </c>
      <c r="E81" s="7" t="s">
        <v>127</v>
      </c>
    </row>
    <row r="82" spans="1:5" x14ac:dyDescent="0.2">
      <c r="A82" s="7">
        <v>2</v>
      </c>
      <c r="B82" s="7" t="s">
        <v>131</v>
      </c>
      <c r="C82" s="7" t="str">
        <f>CONCATENATE(REPT("     ",UseCase.Scenario.Cooling!A82)," ",UseCase.Scenario.Cooling!B82)</f>
        <v xml:space="preserve">           storage</v>
      </c>
      <c r="D82" s="7" t="s">
        <v>187</v>
      </c>
      <c r="E82" s="7" t="s">
        <v>128</v>
      </c>
    </row>
    <row r="83" spans="1:5" ht="30" x14ac:dyDescent="0.2">
      <c r="A83" s="7">
        <v>2</v>
      </c>
      <c r="B83" s="7" t="s">
        <v>132</v>
      </c>
      <c r="C83" s="7" t="str">
        <f>CONCATENATE(REPT("     ",UseCase.Scenario.Cooling!A83)," ",UseCase.Scenario.Cooling!B83)</f>
        <v xml:space="preserve">           aggregation/disaggregation</v>
      </c>
      <c r="D83" s="7" t="s">
        <v>187</v>
      </c>
      <c r="E83" s="7" t="s">
        <v>158</v>
      </c>
    </row>
    <row r="84" spans="1:5" x14ac:dyDescent="0.2">
      <c r="A84" s="7">
        <v>2</v>
      </c>
      <c r="B84" s="7" t="s">
        <v>133</v>
      </c>
      <c r="C84" s="7" t="str">
        <f>CONCATENATE(REPT("     ",UseCase.Scenario.Cooling!A84)," ",UseCase.Scenario.Cooling!B84)</f>
        <v xml:space="preserve">           transformation</v>
      </c>
      <c r="D84" s="7" t="s">
        <v>187</v>
      </c>
      <c r="E84" s="7" t="s">
        <v>157</v>
      </c>
    </row>
    <row r="85" spans="1:5" ht="30" x14ac:dyDescent="0.2">
      <c r="A85" s="7">
        <v>1</v>
      </c>
      <c r="B85" s="7" t="s">
        <v>77</v>
      </c>
      <c r="C85" s="7" t="str">
        <f>CONCATENATE(REPT("     ",UseCase.Scenario.Cooling!A85)," ",UseCase.Scenario.Cooling!B85)</f>
        <v xml:space="preserve">      relationship between data</v>
      </c>
      <c r="D85" s="7" t="s">
        <v>187</v>
      </c>
      <c r="E85" s="7" t="s">
        <v>78</v>
      </c>
    </row>
    <row r="86" spans="1:5" x14ac:dyDescent="0.2">
      <c r="A86" s="7">
        <v>2</v>
      </c>
      <c r="B86" s="7" t="s">
        <v>142</v>
      </c>
      <c r="C86" s="7" t="str">
        <f>CONCATENATE(REPT("     ",UseCase.Scenario.Cooling!A86)," ",UseCase.Scenario.Cooling!B86)</f>
        <v xml:space="preserve">           time of data</v>
      </c>
      <c r="D86" s="7" t="s">
        <v>187</v>
      </c>
      <c r="E86" s="7" t="s">
        <v>159</v>
      </c>
    </row>
    <row r="87" spans="1:5" ht="45" x14ac:dyDescent="0.2">
      <c r="A87" s="7">
        <v>2</v>
      </c>
      <c r="B87" s="7" t="s">
        <v>143</v>
      </c>
      <c r="C87" s="7" t="str">
        <f>CONCATENATE(REPT("     ",UseCase.Scenario.Cooling!A87)," ",UseCase.Scenario.Cooling!B87)</f>
        <v xml:space="preserve">           related data (including metadata)</v>
      </c>
      <c r="D87" s="7" t="s">
        <v>187</v>
      </c>
      <c r="E87" s="7" t="s">
        <v>160</v>
      </c>
    </row>
    <row r="88" spans="1:5" x14ac:dyDescent="0.2">
      <c r="A88" s="7">
        <v>2</v>
      </c>
      <c r="B88" s="7" t="s">
        <v>144</v>
      </c>
      <c r="C88" s="7" t="str">
        <f>CONCATENATE(REPT("     ",UseCase.Scenario.Cooling!A88)," ",UseCase.Scenario.Cooling!B88)</f>
        <v xml:space="preserve">           location of data</v>
      </c>
      <c r="D88" s="7" t="s">
        <v>187</v>
      </c>
      <c r="E88" s="7" t="s">
        <v>144</v>
      </c>
    </row>
    <row r="89" spans="1:5" x14ac:dyDescent="0.2">
      <c r="A89" s="7">
        <v>2</v>
      </c>
      <c r="B89" s="7" t="s">
        <v>145</v>
      </c>
      <c r="C89" s="7" t="str">
        <f>CONCATENATE(REPT("     ",UseCase.Scenario.Cooling!A89)," ",UseCase.Scenario.Cooling!B89)</f>
        <v xml:space="preserve">           inheritance</v>
      </c>
      <c r="D89" s="7" t="s">
        <v>187</v>
      </c>
      <c r="E89" s="7" t="s">
        <v>161</v>
      </c>
    </row>
    <row r="90" spans="1:5" x14ac:dyDescent="0.2">
      <c r="A90" s="7">
        <v>2</v>
      </c>
      <c r="B90" s="7" t="s">
        <v>146</v>
      </c>
      <c r="C90" s="7" t="str">
        <f>CONCATENATE(REPT("     ",UseCase.Scenario.Cooling!A90)," ",UseCase.Scenario.Cooling!B90)</f>
        <v xml:space="preserve">           polymorphism</v>
      </c>
      <c r="D90" s="7" t="s">
        <v>187</v>
      </c>
      <c r="E90" s="7" t="s">
        <v>162</v>
      </c>
    </row>
    <row r="91" spans="1:5" ht="30" x14ac:dyDescent="0.2">
      <c r="A91" s="7">
        <v>2</v>
      </c>
      <c r="B91" s="7" t="s">
        <v>163</v>
      </c>
      <c r="C91" s="7" t="str">
        <f>CONCATENATE(REPT("     ",UseCase.Scenario.Cooling!A91)," ",UseCase.Scenario.Cooling!B91)</f>
        <v xml:space="preserve">           directionality of relationships</v>
      </c>
      <c r="D91" s="7" t="s">
        <v>187</v>
      </c>
      <c r="E91" s="7" t="s">
        <v>147</v>
      </c>
    </row>
    <row r="92" spans="1:5" x14ac:dyDescent="0.2">
      <c r="A92" s="7">
        <v>2</v>
      </c>
      <c r="B92" s="7" t="s">
        <v>40</v>
      </c>
      <c r="C92" s="7" t="str">
        <f>CONCATENATE(REPT("     ",UseCase.Scenario.Cooling!A92)," ",UseCase.Scenario.Cooling!B92)</f>
        <v xml:space="preserve">           quality</v>
      </c>
      <c r="D92" s="7" t="s">
        <v>187</v>
      </c>
      <c r="E92" s="7" t="s">
        <v>164</v>
      </c>
    </row>
    <row r="93" spans="1:5" x14ac:dyDescent="0.2">
      <c r="A93" s="7">
        <v>1</v>
      </c>
      <c r="B93" s="7" t="s">
        <v>126</v>
      </c>
      <c r="C93" s="7" t="str">
        <f>CONCATENATE(REPT("     ",UseCase.Scenario.Cooling!A93)," ",UseCase.Scenario.Cooling!B93)</f>
        <v xml:space="preserve">      velocity</v>
      </c>
      <c r="D93" s="7" t="s">
        <v>187</v>
      </c>
      <c r="E93" s="7" t="s">
        <v>129</v>
      </c>
    </row>
    <row r="94" spans="1:5" ht="13" customHeight="1" x14ac:dyDescent="0.2">
      <c r="A94" s="5">
        <v>0</v>
      </c>
      <c r="B94" s="5" t="s">
        <v>9</v>
      </c>
      <c r="C94" s="5" t="str">
        <f>CONCATENATE(REPT("     ",UseCase.Scenario.Cooling!A94)," ",UseCase.Scenario.Cooling!B94)</f>
        <v xml:space="preserve"> Boundaries</v>
      </c>
      <c r="D94" s="5" t="s">
        <v>187</v>
      </c>
      <c r="E94" s="6" t="s">
        <v>121</v>
      </c>
    </row>
    <row r="95" spans="1:5" ht="30" x14ac:dyDescent="0.2">
      <c r="A95" s="7">
        <v>1</v>
      </c>
      <c r="B95" s="7" t="s">
        <v>79</v>
      </c>
      <c r="C95" s="7" t="str">
        <f>CONCATENATE(REPT("     ",UseCase.Scenario.Cooling!A95)," ",UseCase.Scenario.Cooling!B95)</f>
        <v xml:space="preserve">      behavioral</v>
      </c>
      <c r="D95" s="7" t="s">
        <v>187</v>
      </c>
      <c r="E95" s="7" t="s">
        <v>80</v>
      </c>
    </row>
    <row r="96" spans="1:5" x14ac:dyDescent="0.2">
      <c r="A96" s="7">
        <v>1</v>
      </c>
      <c r="B96" s="7" t="s">
        <v>81</v>
      </c>
      <c r="C96" s="7" t="str">
        <f>CONCATENATE(REPT("     ",UseCase.Scenario.Cooling!A96)," ",UseCase.Scenario.Cooling!B96)</f>
        <v xml:space="preserve">      networkability</v>
      </c>
      <c r="D96" s="7" t="s">
        <v>187</v>
      </c>
      <c r="E96" s="7" t="s">
        <v>82</v>
      </c>
    </row>
    <row r="97" spans="1:5" x14ac:dyDescent="0.2">
      <c r="A97" s="7">
        <v>1</v>
      </c>
      <c r="B97" s="7" t="s">
        <v>83</v>
      </c>
      <c r="C97" s="7" t="str">
        <f>CONCATENATE(REPT("     ",UseCase.Scenario.Cooling!A97)," ",UseCase.Scenario.Cooling!B97)</f>
        <v xml:space="preserve">      responsibility</v>
      </c>
      <c r="D97" s="7" t="s">
        <v>187</v>
      </c>
      <c r="E97" s="7" t="s">
        <v>84</v>
      </c>
    </row>
    <row r="98" spans="1:5" ht="45" x14ac:dyDescent="0.2">
      <c r="A98" s="5">
        <v>0</v>
      </c>
      <c r="B98" s="5" t="s">
        <v>10</v>
      </c>
      <c r="C98" s="5" t="str">
        <f>CONCATENATE(REPT("     ",UseCase.Scenario.Cooling!A98)," ",UseCase.Scenario.Cooling!B98)</f>
        <v xml:space="preserve"> Composition</v>
      </c>
      <c r="D98" s="5" t="s">
        <v>187</v>
      </c>
      <c r="E98" s="6" t="s">
        <v>122</v>
      </c>
    </row>
    <row r="99" spans="1:5" ht="30" x14ac:dyDescent="0.2">
      <c r="A99" s="7">
        <v>1</v>
      </c>
      <c r="B99" s="7" t="s">
        <v>85</v>
      </c>
      <c r="C99" s="7" t="str">
        <f>CONCATENATE(REPT("     ",UseCase.Scenario.Cooling!A99)," ",UseCase.Scenario.Cooling!B99)</f>
        <v xml:space="preserve">      adaptability</v>
      </c>
      <c r="D99" s="7" t="s">
        <v>187</v>
      </c>
      <c r="E99" s="7" t="s">
        <v>86</v>
      </c>
    </row>
    <row r="100" spans="1:5" ht="30" x14ac:dyDescent="0.2">
      <c r="A100" s="7">
        <v>1</v>
      </c>
      <c r="B100" s="7" t="s">
        <v>87</v>
      </c>
      <c r="C100" s="7" t="str">
        <f>CONCATENATE(REPT("     ",UseCase.Scenario.Cooling!A100)," ",UseCase.Scenario.Cooling!B100)</f>
        <v xml:space="preserve">      complexity</v>
      </c>
      <c r="D100" s="7" t="s">
        <v>187</v>
      </c>
      <c r="E100" s="7" t="s">
        <v>88</v>
      </c>
    </row>
    <row r="101" spans="1:5" x14ac:dyDescent="0.2">
      <c r="A101" s="7">
        <v>1</v>
      </c>
      <c r="B101" s="7" t="s">
        <v>89</v>
      </c>
      <c r="C101" s="7" t="str">
        <f>CONCATENATE(REPT("     ",UseCase.Scenario.Cooling!A101)," ",UseCase.Scenario.Cooling!B101)</f>
        <v xml:space="preserve">      constructivity</v>
      </c>
      <c r="D101" s="7" t="s">
        <v>187</v>
      </c>
      <c r="E101" s="7" t="s">
        <v>90</v>
      </c>
    </row>
    <row r="102" spans="1:5" ht="45" x14ac:dyDescent="0.2">
      <c r="A102" s="7">
        <v>1</v>
      </c>
      <c r="B102" s="7" t="s">
        <v>91</v>
      </c>
      <c r="C102" s="7" t="str">
        <f>CONCATENATE(REPT("     ",UseCase.Scenario.Cooling!A102)," ",UseCase.Scenario.Cooling!B102)</f>
        <v xml:space="preserve">      discoverability</v>
      </c>
      <c r="D102" s="7" t="s">
        <v>187</v>
      </c>
      <c r="E102" s="7" t="s">
        <v>92</v>
      </c>
    </row>
    <row r="103" spans="1:5" x14ac:dyDescent="0.2">
      <c r="A103" s="5">
        <v>0</v>
      </c>
      <c r="B103" s="5" t="s">
        <v>11</v>
      </c>
      <c r="C103" s="5" t="str">
        <f>CONCATENATE(REPT("     ",UseCase.Scenario.Cooling!A103)," ",UseCase.Scenario.Cooling!B103)</f>
        <v xml:space="preserve"> Lifecycle</v>
      </c>
      <c r="D103" s="5" t="s">
        <v>187</v>
      </c>
      <c r="E103" s="6" t="s">
        <v>123</v>
      </c>
    </row>
    <row r="104" spans="1:5" x14ac:dyDescent="0.2">
      <c r="A104" s="7">
        <v>1</v>
      </c>
      <c r="B104" s="7" t="s">
        <v>93</v>
      </c>
      <c r="C104" s="7" t="str">
        <f>CONCATENATE(REPT("     ",UseCase.Scenario.Cooling!A104)," ",UseCase.Scenario.Cooling!B104)</f>
        <v xml:space="preserve">      deployability</v>
      </c>
      <c r="D104" s="7" t="s">
        <v>187</v>
      </c>
      <c r="E104" s="7" t="s">
        <v>94</v>
      </c>
    </row>
    <row r="105" spans="1:5" x14ac:dyDescent="0.2">
      <c r="A105" s="7">
        <v>1</v>
      </c>
      <c r="B105" s="7" t="s">
        <v>95</v>
      </c>
      <c r="C105" s="7" t="str">
        <f>CONCATENATE(REPT("     ",UseCase.Scenario.Cooling!A105)," ",UseCase.Scenario.Cooling!B105)</f>
        <v xml:space="preserve">      disposability</v>
      </c>
      <c r="D105" s="7" t="s">
        <v>187</v>
      </c>
      <c r="E105" s="7" t="s">
        <v>96</v>
      </c>
    </row>
    <row r="106" spans="1:5" ht="30" x14ac:dyDescent="0.2">
      <c r="A106" s="7">
        <v>1</v>
      </c>
      <c r="B106" s="7" t="s">
        <v>97</v>
      </c>
      <c r="C106" s="7" t="str">
        <f>CONCATENATE(REPT("     ",UseCase.Scenario.Cooling!A106)," ",UseCase.Scenario.Cooling!B106)</f>
        <v xml:space="preserve">      engineerability</v>
      </c>
      <c r="D106" s="7" t="s">
        <v>187</v>
      </c>
      <c r="E106" s="7" t="s">
        <v>98</v>
      </c>
    </row>
    <row r="107" spans="1:5" x14ac:dyDescent="0.2">
      <c r="A107" s="7">
        <v>1</v>
      </c>
      <c r="B107" s="7" t="s">
        <v>99</v>
      </c>
      <c r="C107" s="7" t="str">
        <f>CONCATENATE(REPT("     ",UseCase.Scenario.Cooling!A107)," ",UseCase.Scenario.Cooling!B107)</f>
        <v xml:space="preserve">      maintainability</v>
      </c>
      <c r="D107" s="7" t="s">
        <v>187</v>
      </c>
      <c r="E107" s="7" t="s">
        <v>100</v>
      </c>
    </row>
    <row r="108" spans="1:5" x14ac:dyDescent="0.2">
      <c r="A108" s="7">
        <v>1</v>
      </c>
      <c r="B108" s="7" t="s">
        <v>101</v>
      </c>
      <c r="C108" s="7" t="str">
        <f>CONCATENATE(REPT("     ",UseCase.Scenario.Cooling!A108)," ",UseCase.Scenario.Cooling!B108)</f>
        <v xml:space="preserve">      operatability</v>
      </c>
      <c r="D108" s="7" t="s">
        <v>187</v>
      </c>
      <c r="E108" s="7" t="s">
        <v>102</v>
      </c>
    </row>
    <row r="109" spans="1:5" x14ac:dyDescent="0.2">
      <c r="A109" s="7">
        <v>1</v>
      </c>
      <c r="B109" s="7" t="s">
        <v>103</v>
      </c>
      <c r="C109" s="7" t="str">
        <f>CONCATENATE(REPT("     ",UseCase.Scenario.Cooling!A109)," ",UseCase.Scenario.Cooling!B109)</f>
        <v xml:space="preserve">      procureability</v>
      </c>
      <c r="D109" s="7" t="s">
        <v>187</v>
      </c>
      <c r="E109" s="7" t="s">
        <v>104</v>
      </c>
    </row>
    <row r="110" spans="1:5" x14ac:dyDescent="0.2">
      <c r="A110" s="7">
        <v>1</v>
      </c>
      <c r="B110" s="7" t="s">
        <v>105</v>
      </c>
      <c r="C110" s="7" t="str">
        <f>CONCATENATE(REPT("     ",UseCase.Scenario.Cooling!A110)," ",UseCase.Scenario.Cooling!B110)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J110"/>
  <sheetViews>
    <sheetView zoomScale="85" zoomScaleNormal="85" zoomScalePageLayoutView="85" workbookViewId="0">
      <pane ySplit="4" topLeftCell="A5" activePane="bottomLeft" state="frozen"/>
      <selection pane="bottomLeft" activeCell="G29" sqref="G29"/>
    </sheetView>
  </sheetViews>
  <sheetFormatPr baseColWidth="10" defaultColWidth="8.83203125" defaultRowHeight="15" x14ac:dyDescent="0.2"/>
  <cols>
    <col min="1" max="1" width="15.33203125" style="3" customWidth="1"/>
    <col min="2" max="2" width="15.33203125" style="3" hidden="1" customWidth="1"/>
    <col min="3" max="3" width="40.5" style="3" customWidth="1"/>
    <col min="4" max="4" width="40.5" style="3" hidden="1" customWidth="1"/>
    <col min="5" max="5" width="105.83203125" style="3" customWidth="1"/>
    <col min="6" max="7" width="50.33203125" style="3" customWidth="1"/>
    <col min="8" max="8" width="12.6640625" style="3" customWidth="1"/>
    <col min="9" max="9" width="35.5" style="3" customWidth="1"/>
    <col min="10" max="10" width="82.1640625" style="3" customWidth="1"/>
    <col min="11" max="16384" width="8.83203125" style="3"/>
  </cols>
  <sheetData>
    <row r="1" spans="1:10" ht="34" x14ac:dyDescent="0.2">
      <c r="A1" s="8">
        <f ca="1">NOW()</f>
        <v>42636.659261111112</v>
      </c>
      <c r="E1" s="4" t="s">
        <v>124</v>
      </c>
    </row>
    <row r="3" spans="1:10" x14ac:dyDescent="0.2">
      <c r="F3" s="9" t="s">
        <v>238</v>
      </c>
      <c r="G3" s="9"/>
      <c r="H3" s="9"/>
      <c r="I3" s="9"/>
      <c r="J3" s="9"/>
    </row>
    <row r="4" spans="1:10" s="2" customFormat="1" ht="24" x14ac:dyDescent="0.2">
      <c r="A4" s="1" t="s">
        <v>0</v>
      </c>
      <c r="B4" s="1" t="s">
        <v>165</v>
      </c>
      <c r="C4" s="1" t="s">
        <v>225</v>
      </c>
      <c r="D4" s="1" t="s">
        <v>186</v>
      </c>
      <c r="E4" s="1" t="s">
        <v>1</v>
      </c>
      <c r="F4" s="2" t="s">
        <v>235</v>
      </c>
      <c r="G4" s="2" t="s">
        <v>236</v>
      </c>
      <c r="H4" s="2" t="s">
        <v>237</v>
      </c>
      <c r="I4" s="2" t="s">
        <v>233</v>
      </c>
      <c r="J4" s="2" t="s">
        <v>234</v>
      </c>
    </row>
    <row r="5" spans="1:10" x14ac:dyDescent="0.2">
      <c r="A5" s="5">
        <v>0</v>
      </c>
      <c r="B5" s="5" t="s">
        <v>3</v>
      </c>
      <c r="C5" s="5" t="str">
        <f>CONCATENATE(REPT("     ",UseCase.Scenario.Automatic!A5)," ",UseCase.Scenario.Automatic!B5)</f>
        <v xml:space="preserve"> Functional</v>
      </c>
      <c r="D5" s="5" t="s">
        <v>187</v>
      </c>
      <c r="E5" s="6" t="s">
        <v>115</v>
      </c>
    </row>
    <row r="6" spans="1:10" x14ac:dyDescent="0.2">
      <c r="A6" s="7">
        <v>1</v>
      </c>
      <c r="B6" s="7" t="s">
        <v>12</v>
      </c>
      <c r="C6" s="7" t="str">
        <f>CONCATENATE(REPT("     ",UseCase.Scenario.Automatic!A6)," ",UseCase.Scenario.Automatic!B6)</f>
        <v xml:space="preserve">      actuation</v>
      </c>
      <c r="D6" s="7" t="s">
        <v>187</v>
      </c>
      <c r="E6" s="7" t="s">
        <v>13</v>
      </c>
    </row>
    <row r="7" spans="1:10" x14ac:dyDescent="0.2">
      <c r="A7" s="7">
        <v>1</v>
      </c>
      <c r="B7" s="7" t="s">
        <v>14</v>
      </c>
      <c r="C7" s="7" t="str">
        <f>CONCATENATE(REPT("     ",UseCase.Scenario.Automatic!A7)," ",UseCase.Scenario.Automatic!B7)</f>
        <v xml:space="preserve">      communication</v>
      </c>
      <c r="D7" s="7" t="s">
        <v>187</v>
      </c>
      <c r="E7" s="7" t="s">
        <v>15</v>
      </c>
    </row>
    <row r="8" spans="1:10" ht="30" x14ac:dyDescent="0.2">
      <c r="A8" s="7">
        <v>2</v>
      </c>
      <c r="B8" s="7" t="s">
        <v>166</v>
      </c>
      <c r="C8" s="7" t="str">
        <f>CONCATENATE(REPT("     ",UseCase.Scenario.Automatic!A8)," ",UseCase.Scenario.Automatic!B8)</f>
        <v xml:space="preserve">           Syntactic Interoperability</v>
      </c>
      <c r="D8" s="7" t="s">
        <v>167</v>
      </c>
      <c r="E8" s="7" t="s">
        <v>202</v>
      </c>
    </row>
    <row r="9" spans="1:10" x14ac:dyDescent="0.2">
      <c r="A9" s="7">
        <v>3</v>
      </c>
      <c r="B9" s="7" t="s">
        <v>168</v>
      </c>
      <c r="C9" s="7" t="str">
        <f>CONCATENATE(REPT("     ",UseCase.Scenario.Automatic!A9)," ",UseCase.Scenario.Automatic!B9)</f>
        <v xml:space="preserve">                OSI-Application</v>
      </c>
      <c r="D9" s="7" t="s">
        <v>169</v>
      </c>
      <c r="E9" s="7" t="s">
        <v>203</v>
      </c>
    </row>
    <row r="10" spans="1:10" x14ac:dyDescent="0.2">
      <c r="A10" s="7">
        <v>3</v>
      </c>
      <c r="B10" s="7" t="s">
        <v>170</v>
      </c>
      <c r="C10" s="7" t="str">
        <f>CONCATENATE(REPT("     ",UseCase.Scenario.Automatic!A10)," ",UseCase.Scenario.Automatic!B10)</f>
        <v xml:space="preserve">                OSI-Presentation</v>
      </c>
      <c r="D10" s="7" t="s">
        <v>171</v>
      </c>
      <c r="E10" s="7" t="s">
        <v>204</v>
      </c>
    </row>
    <row r="11" spans="1:10" ht="30" x14ac:dyDescent="0.2">
      <c r="A11" s="7">
        <v>2</v>
      </c>
      <c r="B11" s="7" t="s">
        <v>172</v>
      </c>
      <c r="C11" s="7" t="str">
        <f>CONCATENATE(REPT("     ",UseCase.Scenario.Automatic!A11)," ",UseCase.Scenario.Automatic!B11)</f>
        <v xml:space="preserve">           Network Interoperability</v>
      </c>
      <c r="D11" s="7" t="s">
        <v>173</v>
      </c>
      <c r="E11" s="7" t="s">
        <v>205</v>
      </c>
    </row>
    <row r="12" spans="1:10" x14ac:dyDescent="0.2">
      <c r="A12" s="7">
        <v>3</v>
      </c>
      <c r="B12" s="7" t="s">
        <v>174</v>
      </c>
      <c r="C12" s="7" t="str">
        <f>CONCATENATE(REPT("     ",UseCase.Scenario.Automatic!A12)," ",UseCase.Scenario.Automatic!B12)</f>
        <v xml:space="preserve">                OSI-Session</v>
      </c>
      <c r="D12" s="7" t="s">
        <v>175</v>
      </c>
      <c r="E12" s="7" t="s">
        <v>226</v>
      </c>
    </row>
    <row r="13" spans="1:10" x14ac:dyDescent="0.2">
      <c r="A13" s="7">
        <v>3</v>
      </c>
      <c r="B13" s="7" t="s">
        <v>176</v>
      </c>
      <c r="C13" s="7" t="str">
        <f>CONCATENATE(REPT("     ",UseCase.Scenario.Automatic!A13)," ",UseCase.Scenario.Automatic!B13)</f>
        <v xml:space="preserve">                OSI-Transport</v>
      </c>
      <c r="D13" s="7" t="s">
        <v>177</v>
      </c>
      <c r="E13" s="7" t="s">
        <v>206</v>
      </c>
    </row>
    <row r="14" spans="1:10" x14ac:dyDescent="0.2">
      <c r="A14" s="7">
        <v>3</v>
      </c>
      <c r="B14" s="7" t="s">
        <v>178</v>
      </c>
      <c r="C14" s="7" t="str">
        <f>CONCATENATE(REPT("     ",UseCase.Scenario.Automatic!A14)," ",UseCase.Scenario.Automatic!B14)</f>
        <v xml:space="preserve">                OSI-Network</v>
      </c>
      <c r="D14" s="7" t="s">
        <v>179</v>
      </c>
      <c r="E14" s="7" t="s">
        <v>207</v>
      </c>
    </row>
    <row r="15" spans="1:10" x14ac:dyDescent="0.2">
      <c r="A15" s="7">
        <v>2</v>
      </c>
      <c r="B15" s="7" t="s">
        <v>180</v>
      </c>
      <c r="C15" s="7" t="str">
        <f>CONCATENATE(REPT("     ",UseCase.Scenario.Automatic!A15)," ",UseCase.Scenario.Automatic!B15)</f>
        <v xml:space="preserve">           Basic Connectivity</v>
      </c>
      <c r="D15" s="7" t="s">
        <v>181</v>
      </c>
      <c r="E15" s="7" t="s">
        <v>208</v>
      </c>
    </row>
    <row r="16" spans="1:10" x14ac:dyDescent="0.2">
      <c r="A16" s="7">
        <v>3</v>
      </c>
      <c r="B16" s="7" t="s">
        <v>182</v>
      </c>
      <c r="C16" s="7" t="str">
        <f>CONCATENATE(REPT("     ",UseCase.Scenario.Automatic!A16)," ",UseCase.Scenario.Automatic!B16)</f>
        <v xml:space="preserve">                OSI-Data Link</v>
      </c>
      <c r="D16" s="7" t="s">
        <v>183</v>
      </c>
      <c r="E16" s="7" t="s">
        <v>209</v>
      </c>
    </row>
    <row r="17" spans="1:5" x14ac:dyDescent="0.2">
      <c r="A17" s="7">
        <v>3</v>
      </c>
      <c r="B17" s="7" t="s">
        <v>184</v>
      </c>
      <c r="C17" s="7" t="str">
        <f>CONCATENATE(REPT("     ",UseCase.Scenario.Automatic!A17)," ",UseCase.Scenario.Automatic!B17)</f>
        <v xml:space="preserve">                OSI-Physical</v>
      </c>
      <c r="D17" s="7" t="s">
        <v>185</v>
      </c>
      <c r="E17" s="7" t="s">
        <v>210</v>
      </c>
    </row>
    <row r="18" spans="1:5" ht="45" x14ac:dyDescent="0.2">
      <c r="A18" s="7">
        <v>1</v>
      </c>
      <c r="B18" s="7" t="s">
        <v>16</v>
      </c>
      <c r="C18" s="7" t="str">
        <f>CONCATENATE(REPT("     ",UseCase.Scenario.Automatic!A18)," ",UseCase.Scenario.Automatic!B18)</f>
        <v xml:space="preserve">      controllability</v>
      </c>
      <c r="D18" s="7" t="s">
        <v>187</v>
      </c>
      <c r="E18" s="7" t="s">
        <v>17</v>
      </c>
    </row>
    <row r="19" spans="1:5" x14ac:dyDescent="0.2">
      <c r="A19" s="7">
        <v>1</v>
      </c>
      <c r="B19" s="7" t="s">
        <v>18</v>
      </c>
      <c r="C19" s="7" t="str">
        <f>CONCATENATE(REPT("     ",UseCase.Scenario.Automatic!A19)," ",UseCase.Scenario.Automatic!B19)</f>
        <v xml:space="preserve">      functionality</v>
      </c>
      <c r="D19" s="7" t="s">
        <v>187</v>
      </c>
      <c r="E19" s="7" t="s">
        <v>19</v>
      </c>
    </row>
    <row r="20" spans="1:5" x14ac:dyDescent="0.2">
      <c r="A20" s="7">
        <v>1</v>
      </c>
      <c r="B20" s="7" t="s">
        <v>20</v>
      </c>
      <c r="C20" s="7" t="str">
        <f>CONCATENATE(REPT("     ",UseCase.Scenario.Automatic!A20)," ",UseCase.Scenario.Automatic!B20)</f>
        <v xml:space="preserve">      measurability</v>
      </c>
      <c r="D20" s="7" t="s">
        <v>187</v>
      </c>
      <c r="E20" s="7" t="s">
        <v>21</v>
      </c>
    </row>
    <row r="21" spans="1:5" ht="30" x14ac:dyDescent="0.2">
      <c r="A21" s="7">
        <v>1</v>
      </c>
      <c r="B21" s="7" t="s">
        <v>22</v>
      </c>
      <c r="C21" s="7" t="str">
        <f>CONCATENATE(REPT("     ",UseCase.Scenario.Automatic!A21)," ",UseCase.Scenario.Automatic!B21)</f>
        <v xml:space="preserve">      monitorability</v>
      </c>
      <c r="D21" s="7" t="s">
        <v>187</v>
      </c>
      <c r="E21" s="7" t="s">
        <v>23</v>
      </c>
    </row>
    <row r="22" spans="1:5" x14ac:dyDescent="0.2">
      <c r="A22" s="7">
        <v>1</v>
      </c>
      <c r="B22" s="7" t="s">
        <v>24</v>
      </c>
      <c r="C22" s="7" t="str">
        <f>CONCATENATE(REPT("     ",UseCase.Scenario.Automatic!A22)," ",UseCase.Scenario.Automatic!B22)</f>
        <v xml:space="preserve">      performance</v>
      </c>
      <c r="D22" s="7" t="s">
        <v>187</v>
      </c>
      <c r="E22" s="7" t="s">
        <v>25</v>
      </c>
    </row>
    <row r="23" spans="1:5" x14ac:dyDescent="0.2">
      <c r="A23" s="7">
        <v>1</v>
      </c>
      <c r="B23" s="7" t="s">
        <v>26</v>
      </c>
      <c r="C23" s="7" t="str">
        <f>CONCATENATE(REPT("     ",UseCase.Scenario.Automatic!A23)," ",UseCase.Scenario.Automatic!B23)</f>
        <v xml:space="preserve">      physical</v>
      </c>
      <c r="D23" s="7" t="s">
        <v>187</v>
      </c>
      <c r="E23" s="7" t="s">
        <v>27</v>
      </c>
    </row>
    <row r="24" spans="1:5" ht="45" x14ac:dyDescent="0.2">
      <c r="A24" s="7">
        <v>1</v>
      </c>
      <c r="B24" s="7" t="s">
        <v>28</v>
      </c>
      <c r="C24" s="7" t="str">
        <f>CONCATENATE(REPT("     ",UseCase.Scenario.Automatic!A24)," ",UseCase.Scenario.Automatic!B24)</f>
        <v xml:space="preserve">      physical context</v>
      </c>
      <c r="D24" s="7" t="s">
        <v>187</v>
      </c>
      <c r="E24" s="7" t="s">
        <v>29</v>
      </c>
    </row>
    <row r="25" spans="1:5" x14ac:dyDescent="0.2">
      <c r="A25" s="7">
        <v>1</v>
      </c>
      <c r="B25" s="7" t="s">
        <v>30</v>
      </c>
      <c r="C25" s="7" t="str">
        <f>CONCATENATE(REPT("     ",UseCase.Scenario.Automatic!A25)," ",UseCase.Scenario.Automatic!B25)</f>
        <v xml:space="preserve">      sensing</v>
      </c>
      <c r="D25" s="7" t="s">
        <v>187</v>
      </c>
      <c r="E25" s="7" t="s">
        <v>31</v>
      </c>
    </row>
    <row r="26" spans="1:5" ht="90" x14ac:dyDescent="0.2">
      <c r="A26" s="7">
        <v>1</v>
      </c>
      <c r="B26" s="7" t="s">
        <v>32</v>
      </c>
      <c r="C26" s="7" t="str">
        <f>CONCATENATE(REPT("     ",UseCase.Scenario.Automatic!A26)," ",UseCase.Scenario.Automatic!B26)</f>
        <v xml:space="preserve">      uncertainty</v>
      </c>
      <c r="D26" s="7" t="s">
        <v>187</v>
      </c>
      <c r="E26" s="7" t="s">
        <v>33</v>
      </c>
    </row>
    <row r="27" spans="1:5" x14ac:dyDescent="0.2">
      <c r="A27" s="7">
        <v>1</v>
      </c>
      <c r="B27" s="7" t="s">
        <v>188</v>
      </c>
      <c r="C27" s="7" t="str">
        <f>CONCATENATE(REPT("     ",UseCase.Scenario.Automatic!A27)," ",UseCase.Scenario.Automatic!B27)</f>
        <v xml:space="preserve">      statesAndModes</v>
      </c>
      <c r="D27" s="7" t="s">
        <v>189</v>
      </c>
      <c r="E27" s="7" t="s">
        <v>224</v>
      </c>
    </row>
    <row r="28" spans="1:5" x14ac:dyDescent="0.2">
      <c r="A28" s="7">
        <v>1</v>
      </c>
      <c r="B28" s="7" t="s">
        <v>222</v>
      </c>
      <c r="C28" s="7" t="str">
        <f>CONCATENATE(REPT("     ",UseCase.Scenario.Automatic!A28)," ",UseCase.Scenario.Automatic!B28)</f>
        <v xml:space="preserve">      manageability</v>
      </c>
      <c r="D28" s="7"/>
      <c r="E28" s="7" t="s">
        <v>223</v>
      </c>
    </row>
    <row r="29" spans="1:5" ht="44" customHeight="1" x14ac:dyDescent="0.2">
      <c r="A29" s="7">
        <v>2</v>
      </c>
      <c r="B29" s="7" t="s">
        <v>194</v>
      </c>
      <c r="C29" s="7" t="str">
        <f>CONCATENATE(REPT("     ",UseCase.Scenario.Automatic!A29)," ",UseCase.Scenario.Automatic!B29)</f>
        <v xml:space="preserve">           configurationManagement</v>
      </c>
      <c r="D29" s="7" t="s">
        <v>190</v>
      </c>
      <c r="E29" s="7" t="s">
        <v>227</v>
      </c>
    </row>
    <row r="30" spans="1:5" ht="30" x14ac:dyDescent="0.2">
      <c r="A30" s="7">
        <v>2</v>
      </c>
      <c r="B30" s="7" t="s">
        <v>195</v>
      </c>
      <c r="C30" s="7" t="str">
        <f>CONCATENATE(REPT("     ",UseCase.Scenario.Automatic!A30)," ",UseCase.Scenario.Automatic!B30)</f>
        <v xml:space="preserve">           configurationForLeastFFunctionality</v>
      </c>
      <c r="D30" s="7" t="s">
        <v>191</v>
      </c>
      <c r="E30" s="7" t="s">
        <v>212</v>
      </c>
    </row>
    <row r="31" spans="1:5" ht="30" x14ac:dyDescent="0.2">
      <c r="A31" s="7">
        <v>2</v>
      </c>
      <c r="B31" s="7" t="s">
        <v>192</v>
      </c>
      <c r="C31" s="7" t="str">
        <f>CONCATENATE(REPT("     ",UseCase.Scenario.Automatic!A31)," ",UseCase.Scenario.Automatic!B31)</f>
        <v xml:space="preserve">           Component Inventory</v>
      </c>
      <c r="D31" s="7" t="s">
        <v>193</v>
      </c>
      <c r="E31" s="7" t="s">
        <v>213</v>
      </c>
    </row>
    <row r="32" spans="1:5" x14ac:dyDescent="0.2">
      <c r="A32" s="5">
        <v>0</v>
      </c>
      <c r="B32" s="5" t="s">
        <v>4</v>
      </c>
      <c r="C32" s="5" t="str">
        <f>CONCATENATE(REPT("     ",UseCase.Scenario.Automatic!A32)," ",UseCase.Scenario.Automatic!B32)</f>
        <v xml:space="preserve"> Business</v>
      </c>
      <c r="D32" s="5" t="s">
        <v>187</v>
      </c>
      <c r="E32" s="6" t="s">
        <v>116</v>
      </c>
    </row>
    <row r="33" spans="1:5" x14ac:dyDescent="0.2">
      <c r="A33" s="7">
        <v>1</v>
      </c>
      <c r="B33" s="7" t="s">
        <v>34</v>
      </c>
      <c r="C33" s="7" t="str">
        <f>CONCATENATE(REPT("     ",UseCase.Scenario.Automatic!A33)," ",UseCase.Scenario.Automatic!B33)</f>
        <v xml:space="preserve">      enterprise</v>
      </c>
      <c r="D33" s="7" t="s">
        <v>187</v>
      </c>
      <c r="E33" s="7" t="s">
        <v>35</v>
      </c>
    </row>
    <row r="34" spans="1:5" x14ac:dyDescent="0.2">
      <c r="A34" s="7">
        <v>1</v>
      </c>
      <c r="B34" s="7" t="s">
        <v>2</v>
      </c>
      <c r="C34" s="7" t="str">
        <f>CONCATENATE(REPT("     ",UseCase.Scenario.Automatic!A34)," ",UseCase.Scenario.Automatic!B34)</f>
        <v xml:space="preserve">      cost</v>
      </c>
      <c r="D34" s="7" t="s">
        <v>187</v>
      </c>
      <c r="E34" s="7" t="s">
        <v>36</v>
      </c>
    </row>
    <row r="35" spans="1:5" x14ac:dyDescent="0.2">
      <c r="A35" s="7">
        <v>1</v>
      </c>
      <c r="B35" s="7" t="s">
        <v>37</v>
      </c>
      <c r="C35" s="7" t="str">
        <f>CONCATENATE(REPT("     ",UseCase.Scenario.Automatic!A35)," ",UseCase.Scenario.Automatic!B35)</f>
        <v xml:space="preserve">      environment</v>
      </c>
      <c r="D35" s="7" t="s">
        <v>187</v>
      </c>
      <c r="E35" s="7" t="s">
        <v>197</v>
      </c>
    </row>
    <row r="36" spans="1:5" x14ac:dyDescent="0.2">
      <c r="A36" s="7">
        <v>1</v>
      </c>
      <c r="B36" s="7" t="s">
        <v>38</v>
      </c>
      <c r="C36" s="7" t="str">
        <f>CONCATENATE(REPT("     ",UseCase.Scenario.Automatic!A36)," ",UseCase.Scenario.Automatic!B36)</f>
        <v xml:space="preserve">      policy</v>
      </c>
      <c r="D36" s="7" t="s">
        <v>187</v>
      </c>
      <c r="E36" s="7" t="s">
        <v>39</v>
      </c>
    </row>
    <row r="37" spans="1:5" x14ac:dyDescent="0.2">
      <c r="A37" s="7">
        <v>1</v>
      </c>
      <c r="B37" s="7" t="s">
        <v>40</v>
      </c>
      <c r="C37" s="7" t="str">
        <f>CONCATENATE(REPT("     ",UseCase.Scenario.Automatic!A37)," ",UseCase.Scenario.Automatic!B37)</f>
        <v xml:space="preserve">      quality</v>
      </c>
      <c r="D37" s="7" t="s">
        <v>187</v>
      </c>
      <c r="E37" s="7" t="s">
        <v>41</v>
      </c>
    </row>
    <row r="38" spans="1:5" x14ac:dyDescent="0.2">
      <c r="A38" s="7">
        <v>1</v>
      </c>
      <c r="B38" s="7" t="s">
        <v>42</v>
      </c>
      <c r="C38" s="7" t="str">
        <f>CONCATENATE(REPT("     ",UseCase.Scenario.Automatic!A38)," ",UseCase.Scenario.Automatic!B38)</f>
        <v xml:space="preserve">      regulatory</v>
      </c>
      <c r="D38" s="7" t="s">
        <v>187</v>
      </c>
      <c r="E38" s="7" t="s">
        <v>43</v>
      </c>
    </row>
    <row r="39" spans="1:5" x14ac:dyDescent="0.2">
      <c r="A39" s="7">
        <v>1</v>
      </c>
      <c r="B39" s="7" t="s">
        <v>44</v>
      </c>
      <c r="C39" s="7" t="str">
        <f>CONCATENATE(REPT("     ",UseCase.Scenario.Automatic!A39)," ",UseCase.Scenario.Automatic!B39)</f>
        <v xml:space="preserve">      time to market</v>
      </c>
      <c r="D39" s="7" t="s">
        <v>187</v>
      </c>
      <c r="E39" s="7" t="s">
        <v>45</v>
      </c>
    </row>
    <row r="40" spans="1:5" ht="30" x14ac:dyDescent="0.2">
      <c r="A40" s="7">
        <v>1</v>
      </c>
      <c r="B40" s="7" t="s">
        <v>46</v>
      </c>
      <c r="C40" s="7" t="str">
        <f>CONCATENATE(REPT("     ",UseCase.Scenario.Automatic!A40)," ",UseCase.Scenario.Automatic!B40)</f>
        <v xml:space="preserve">      utility</v>
      </c>
      <c r="D40" s="7" t="s">
        <v>187</v>
      </c>
      <c r="E40" s="7" t="s">
        <v>47</v>
      </c>
    </row>
    <row r="41" spans="1:5" x14ac:dyDescent="0.2">
      <c r="A41" s="7">
        <v>1</v>
      </c>
      <c r="B41" s="7" t="s">
        <v>196</v>
      </c>
      <c r="C41" s="7" t="str">
        <f>CONCATENATE(REPT("     ",UseCase.Scenario.Automatic!A41)," ",UseCase.Scenario.Automatic!B41)</f>
        <v xml:space="preserve">      Planning</v>
      </c>
      <c r="D41" s="7"/>
      <c r="E41" s="7" t="s">
        <v>211</v>
      </c>
    </row>
    <row r="42" spans="1:5" x14ac:dyDescent="0.2">
      <c r="A42" s="5">
        <v>0</v>
      </c>
      <c r="B42" s="5" t="s">
        <v>5</v>
      </c>
      <c r="C42" s="5" t="str">
        <f>CONCATENATE(REPT("     ",UseCase.Scenario.Automatic!A42)," ",UseCase.Scenario.Automatic!B42)</f>
        <v xml:space="preserve"> Human</v>
      </c>
      <c r="D42" s="5" t="s">
        <v>187</v>
      </c>
      <c r="E42" s="6" t="s">
        <v>117</v>
      </c>
    </row>
    <row r="43" spans="1:5" x14ac:dyDescent="0.2">
      <c r="A43" s="7">
        <v>1</v>
      </c>
      <c r="B43" s="7" t="s">
        <v>48</v>
      </c>
      <c r="C43" s="7" t="str">
        <f>CONCATENATE(REPT("     ",UseCase.Scenario.Automatic!A43)," ",UseCase.Scenario.Automatic!B43)</f>
        <v xml:space="preserve">      human factors</v>
      </c>
      <c r="D43" s="7" t="s">
        <v>187</v>
      </c>
      <c r="E43" s="7" t="s">
        <v>49</v>
      </c>
    </row>
    <row r="44" spans="1:5" ht="45" x14ac:dyDescent="0.2">
      <c r="A44" s="7">
        <v>1</v>
      </c>
      <c r="B44" s="7" t="s">
        <v>50</v>
      </c>
      <c r="C44" s="7" t="str">
        <f>CONCATENATE(REPT("     ",UseCase.Scenario.Automatic!A44)," ",UseCase.Scenario.Automatic!B44)</f>
        <v xml:space="preserve">      usability</v>
      </c>
      <c r="D44" s="7" t="s">
        <v>187</v>
      </c>
      <c r="E44" s="7" t="s">
        <v>51</v>
      </c>
    </row>
    <row r="45" spans="1:5" x14ac:dyDescent="0.2">
      <c r="A45" s="5">
        <v>0</v>
      </c>
      <c r="B45" s="5" t="s">
        <v>6</v>
      </c>
      <c r="C45" s="5" t="str">
        <f>CONCATENATE(REPT("     ",UseCase.Scenario.Automatic!A45)," ",UseCase.Scenario.Automatic!B45)</f>
        <v xml:space="preserve"> Trustworthiness</v>
      </c>
      <c r="D45" s="5" t="s">
        <v>187</v>
      </c>
      <c r="E45" s="6" t="s">
        <v>118</v>
      </c>
    </row>
    <row r="46" spans="1:5" ht="75" x14ac:dyDescent="0.2">
      <c r="A46" s="7">
        <v>1</v>
      </c>
      <c r="B46" s="7" t="s">
        <v>52</v>
      </c>
      <c r="C46" s="7" t="str">
        <f>CONCATENATE(REPT("     ",UseCase.Scenario.Automatic!A46)," ",UseCase.Scenario.Automatic!B46)</f>
        <v xml:space="preserve">      privacy</v>
      </c>
      <c r="D46" s="7" t="s">
        <v>187</v>
      </c>
      <c r="E46" s="7" t="s">
        <v>53</v>
      </c>
    </row>
    <row r="47" spans="1:5" x14ac:dyDescent="0.2">
      <c r="A47" s="7">
        <v>1</v>
      </c>
      <c r="B47" s="7" t="s">
        <v>54</v>
      </c>
      <c r="C47" s="7" t="str">
        <f>CONCATENATE(REPT("     ",UseCase.Scenario.Automatic!A47)," ",UseCase.Scenario.Automatic!B47)</f>
        <v xml:space="preserve">      reliability</v>
      </c>
      <c r="D47" s="7" t="s">
        <v>187</v>
      </c>
      <c r="E47" s="7" t="s">
        <v>55</v>
      </c>
    </row>
    <row r="48" spans="1:5" ht="30" x14ac:dyDescent="0.2">
      <c r="A48" s="7">
        <v>1</v>
      </c>
      <c r="B48" s="7" t="s">
        <v>56</v>
      </c>
      <c r="C48" s="7" t="str">
        <f>CONCATENATE(REPT("     ",UseCase.Scenario.Automatic!A48)," ",UseCase.Scenario.Automatic!B48)</f>
        <v xml:space="preserve">      resilience</v>
      </c>
      <c r="D48" s="7" t="s">
        <v>187</v>
      </c>
      <c r="E48" s="7" t="s">
        <v>57</v>
      </c>
    </row>
    <row r="49" spans="1:5" ht="30" x14ac:dyDescent="0.2">
      <c r="A49" s="7">
        <v>1</v>
      </c>
      <c r="B49" s="7" t="s">
        <v>58</v>
      </c>
      <c r="C49" s="7" t="str">
        <f>CONCATENATE(REPT("     ",UseCase.Scenario.Automatic!A49)," ",UseCase.Scenario.Automatic!B49)</f>
        <v xml:space="preserve">      safety</v>
      </c>
      <c r="D49" s="7" t="s">
        <v>187</v>
      </c>
      <c r="E49" s="7" t="s">
        <v>59</v>
      </c>
    </row>
    <row r="50" spans="1:5" ht="75" x14ac:dyDescent="0.2">
      <c r="A50" s="7">
        <v>1</v>
      </c>
      <c r="B50" s="7" t="s">
        <v>60</v>
      </c>
      <c r="C50" s="7" t="str">
        <f>CONCATENATE(REPT("     ",UseCase.Scenario.Automatic!A50)," ",UseCase.Scenario.Automatic!B50)</f>
        <v xml:space="preserve">      security</v>
      </c>
      <c r="D50" s="7" t="s">
        <v>187</v>
      </c>
      <c r="E50" s="7" t="s">
        <v>113</v>
      </c>
    </row>
    <row r="51" spans="1:5" x14ac:dyDescent="0.2">
      <c r="A51" s="7">
        <v>2</v>
      </c>
      <c r="B51" s="7" t="s">
        <v>108</v>
      </c>
      <c r="C51" s="7" t="str">
        <f>CONCATENATE(REPT("     ",UseCase.Scenario.Automatic!A51)," ",UseCase.Scenario.Automatic!B51)</f>
        <v xml:space="preserve">           cybersecurity</v>
      </c>
      <c r="D51" s="7" t="s">
        <v>187</v>
      </c>
      <c r="E51" s="7" t="s">
        <v>228</v>
      </c>
    </row>
    <row r="52" spans="1:5" x14ac:dyDescent="0.2">
      <c r="A52" s="7">
        <v>3</v>
      </c>
      <c r="B52" s="7" t="s">
        <v>107</v>
      </c>
      <c r="C52" s="7" t="str">
        <f>CONCATENATE(REPT("     ",UseCase.Scenario.Automatic!A52)," ",UseCase.Scenario.Automatic!B52)</f>
        <v xml:space="preserve">                confidentiality</v>
      </c>
      <c r="D52" s="7" t="s">
        <v>187</v>
      </c>
      <c r="E52" s="7" t="s">
        <v>112</v>
      </c>
    </row>
    <row r="53" spans="1:5" x14ac:dyDescent="0.2">
      <c r="A53" s="7">
        <v>3</v>
      </c>
      <c r="B53" s="7" t="s">
        <v>110</v>
      </c>
      <c r="C53" s="7" t="str">
        <f>CONCATENATE(REPT("     ",UseCase.Scenario.Automatic!A53)," ",UseCase.Scenario.Automatic!B53)</f>
        <v xml:space="preserve">                integrity</v>
      </c>
      <c r="D53" s="7" t="s">
        <v>187</v>
      </c>
      <c r="E53" s="7" t="s">
        <v>215</v>
      </c>
    </row>
    <row r="54" spans="1:5" x14ac:dyDescent="0.2">
      <c r="A54" s="7">
        <v>3</v>
      </c>
      <c r="B54" s="7" t="s">
        <v>111</v>
      </c>
      <c r="C54" s="7" t="str">
        <f>CONCATENATE(REPT("     ",UseCase.Scenario.Automatic!A54)," ",UseCase.Scenario.Automatic!B54)</f>
        <v xml:space="preserve">                availability</v>
      </c>
      <c r="D54" s="7" t="s">
        <v>187</v>
      </c>
      <c r="E54" s="7" t="s">
        <v>114</v>
      </c>
    </row>
    <row r="55" spans="1:5" x14ac:dyDescent="0.2">
      <c r="A55" s="7">
        <v>2</v>
      </c>
      <c r="B55" s="7" t="s">
        <v>109</v>
      </c>
      <c r="C55" s="7" t="str">
        <f>CONCATENATE(REPT("     ",UseCase.Scenario.Automatic!A55)," ",UseCase.Scenario.Automatic!B55)</f>
        <v xml:space="preserve">           physicalsecurity</v>
      </c>
      <c r="D55" s="7" t="s">
        <v>187</v>
      </c>
      <c r="E55" s="7" t="s">
        <v>214</v>
      </c>
    </row>
    <row r="56" spans="1:5" ht="30" x14ac:dyDescent="0.2">
      <c r="A56" s="5">
        <v>0</v>
      </c>
      <c r="B56" s="5" t="s">
        <v>7</v>
      </c>
      <c r="C56" s="5" t="str">
        <f>CONCATENATE(REPT("     ",UseCase.Scenario.Automatic!A56)," ",UseCase.Scenario.Automatic!B56)</f>
        <v xml:space="preserve"> Timing</v>
      </c>
      <c r="D56" s="5" t="s">
        <v>187</v>
      </c>
      <c r="E56" s="6" t="s">
        <v>119</v>
      </c>
    </row>
    <row r="57" spans="1:5" x14ac:dyDescent="0.2">
      <c r="A57" s="7">
        <v>1</v>
      </c>
      <c r="B57" s="7" t="s">
        <v>61</v>
      </c>
      <c r="C57" s="7" t="str">
        <f>CONCATENATE(REPT("     ",UseCase.Scenario.Automatic!A57)," ",UseCase.Scenario.Automatic!B57)</f>
        <v xml:space="preserve">      logical time</v>
      </c>
      <c r="D57" s="7" t="s">
        <v>187</v>
      </c>
      <c r="E57" s="7" t="s">
        <v>62</v>
      </c>
    </row>
    <row r="58" spans="1:5" ht="60" x14ac:dyDescent="0.2">
      <c r="A58" s="7">
        <v>1</v>
      </c>
      <c r="B58" s="7" t="s">
        <v>63</v>
      </c>
      <c r="C58" s="7" t="str">
        <f>CONCATENATE(REPT("     ",UseCase.Scenario.Automatic!A58)," ",UseCase.Scenario.Automatic!B58)</f>
        <v xml:space="preserve">      managing timing and latency</v>
      </c>
      <c r="D58" s="7" t="s">
        <v>187</v>
      </c>
      <c r="E58" s="7" t="s">
        <v>64</v>
      </c>
    </row>
    <row r="59" spans="1:5" ht="30" x14ac:dyDescent="0.2">
      <c r="A59" s="7">
        <v>1</v>
      </c>
      <c r="B59" s="7" t="s">
        <v>65</v>
      </c>
      <c r="C59" s="7" t="str">
        <f>CONCATENATE(REPT("     ",UseCase.Scenario.Automatic!A59)," ",UseCase.Scenario.Automatic!B59)</f>
        <v xml:space="preserve">      synchronization</v>
      </c>
      <c r="D59" s="7" t="s">
        <v>187</v>
      </c>
      <c r="E59" s="7" t="s">
        <v>66</v>
      </c>
    </row>
    <row r="60" spans="1:5" ht="30" x14ac:dyDescent="0.2">
      <c r="A60" s="7">
        <v>1</v>
      </c>
      <c r="B60" s="7" t="s">
        <v>67</v>
      </c>
      <c r="C60" s="7" t="str">
        <f>CONCATENATE(REPT("     ",UseCase.Scenario.Automatic!A60)," ",UseCase.Scenario.Automatic!B60)</f>
        <v xml:space="preserve">      time awareness</v>
      </c>
      <c r="D60" s="7" t="s">
        <v>187</v>
      </c>
      <c r="E60" s="7" t="s">
        <v>68</v>
      </c>
    </row>
    <row r="61" spans="1:5" ht="45" x14ac:dyDescent="0.2">
      <c r="A61" s="7">
        <v>1</v>
      </c>
      <c r="B61" s="7" t="s">
        <v>69</v>
      </c>
      <c r="C61" s="7" t="str">
        <f>CONCATENATE(REPT("     ",UseCase.Scenario.Automatic!A61)," ",UseCase.Scenario.Automatic!B61)</f>
        <v xml:space="preserve">      time-interval and latency control</v>
      </c>
      <c r="D61" s="7" t="s">
        <v>187</v>
      </c>
      <c r="E61" s="7" t="s">
        <v>70</v>
      </c>
    </row>
    <row r="62" spans="1:5" x14ac:dyDescent="0.2">
      <c r="A62" s="5">
        <v>0</v>
      </c>
      <c r="B62" s="5" t="s">
        <v>8</v>
      </c>
      <c r="C62" s="5" t="str">
        <f>CONCATENATE(REPT("     ",UseCase.Scenario.Automatic!A62)," ",UseCase.Scenario.Automatic!B62)</f>
        <v xml:space="preserve"> Data</v>
      </c>
      <c r="D62" s="5" t="s">
        <v>187</v>
      </c>
      <c r="E62" s="6" t="s">
        <v>120</v>
      </c>
    </row>
    <row r="63" spans="1:5" x14ac:dyDescent="0.2">
      <c r="A63" s="7">
        <v>1</v>
      </c>
      <c r="B63" s="7" t="s">
        <v>71</v>
      </c>
      <c r="C63" s="7" t="str">
        <f>CONCATENATE(REPT("     ",UseCase.Scenario.Automatic!A63)," ",UseCase.Scenario.Automatic!B63)</f>
        <v xml:space="preserve">      data semantics</v>
      </c>
      <c r="D63" s="7" t="s">
        <v>187</v>
      </c>
      <c r="E63" s="7" t="s">
        <v>72</v>
      </c>
    </row>
    <row r="64" spans="1:5" x14ac:dyDescent="0.2">
      <c r="A64" s="7">
        <v>2</v>
      </c>
      <c r="B64" s="7" t="s">
        <v>134</v>
      </c>
      <c r="C64" s="7" t="str">
        <f>CONCATENATE(REPT("     ",UseCase.Scenario.Automatic!A64)," ",UseCase.Scenario.Automatic!B64)</f>
        <v xml:space="preserve">           data models</v>
      </c>
      <c r="D64" s="7" t="s">
        <v>187</v>
      </c>
      <c r="E64" s="7" t="s">
        <v>141</v>
      </c>
    </row>
    <row r="65" spans="1:5" x14ac:dyDescent="0.2">
      <c r="A65" s="7">
        <v>2</v>
      </c>
      <c r="B65" s="7" t="s">
        <v>135</v>
      </c>
      <c r="C65" s="7" t="str">
        <f>CONCATENATE(REPT("     ",UseCase.Scenario.Automatic!A65)," ",UseCase.Scenario.Automatic!B65)</f>
        <v xml:space="preserve">           granularity</v>
      </c>
      <c r="D65" s="7" t="s">
        <v>187</v>
      </c>
      <c r="E65" s="7" t="s">
        <v>148</v>
      </c>
    </row>
    <row r="66" spans="1:5" x14ac:dyDescent="0.2">
      <c r="A66" s="7">
        <v>2</v>
      </c>
      <c r="B66" s="7" t="s">
        <v>136</v>
      </c>
      <c r="C66" s="7" t="str">
        <f>CONCATENATE(REPT("     ",UseCase.Scenario.Automatic!A66)," ",UseCase.Scenario.Automatic!B66)</f>
        <v xml:space="preserve">           meaning</v>
      </c>
      <c r="D66" s="7" t="s">
        <v>187</v>
      </c>
      <c r="E66" s="7" t="s">
        <v>149</v>
      </c>
    </row>
    <row r="67" spans="1:5" ht="30" x14ac:dyDescent="0.2">
      <c r="A67" s="7">
        <v>1</v>
      </c>
      <c r="B67" s="7" t="s">
        <v>73</v>
      </c>
      <c r="C67" s="7" t="str">
        <f>CONCATENATE(REPT("     ",UseCase.Scenario.Automatic!A67)," ",UseCase.Scenario.Automatic!B67)</f>
        <v xml:space="preserve">      identity</v>
      </c>
      <c r="D67" s="7" t="s">
        <v>187</v>
      </c>
      <c r="E67" s="7" t="s">
        <v>74</v>
      </c>
    </row>
    <row r="68" spans="1:5" ht="30" x14ac:dyDescent="0.2">
      <c r="A68" s="7">
        <v>2</v>
      </c>
      <c r="B68" s="7" t="s">
        <v>216</v>
      </c>
      <c r="C68" s="7" t="str">
        <f>CONCATENATE(REPT("     ",UseCase.Scenario.Automatic!A68)," ",UseCase.Scenario.Automatic!B68)</f>
        <v xml:space="preserve">           resourceIdentification</v>
      </c>
      <c r="D68" s="7" t="s">
        <v>198</v>
      </c>
      <c r="E68" s="7" t="s">
        <v>150</v>
      </c>
    </row>
    <row r="69" spans="1:5" x14ac:dyDescent="0.2">
      <c r="A69" s="7">
        <v>3</v>
      </c>
      <c r="B69" s="7" t="s">
        <v>217</v>
      </c>
      <c r="C69" s="7" t="str">
        <f>CONCATENATE(REPT("     ",UseCase.Scenario.Automatic!A69)," ",UseCase.Scenario.Automatic!B69)</f>
        <v xml:space="preserve">                userIdentification</v>
      </c>
      <c r="D69" s="7" t="s">
        <v>199</v>
      </c>
      <c r="E69" s="7" t="s">
        <v>229</v>
      </c>
    </row>
    <row r="70" spans="1:5" ht="30" x14ac:dyDescent="0.2">
      <c r="A70" s="7">
        <v>3</v>
      </c>
      <c r="B70" s="7" t="s">
        <v>218</v>
      </c>
      <c r="C70" s="7" t="str">
        <f>CONCATENATE(REPT("     ",UseCase.Scenario.Automatic!A70)," ",UseCase.Scenario.Automatic!B70)</f>
        <v xml:space="preserve">                deviceIdentification</v>
      </c>
      <c r="D70" s="7" t="s">
        <v>200</v>
      </c>
      <c r="E70" s="7" t="s">
        <v>230</v>
      </c>
    </row>
    <row r="71" spans="1:5" ht="30" x14ac:dyDescent="0.2">
      <c r="A71" s="7">
        <v>3</v>
      </c>
      <c r="B71" s="7" t="s">
        <v>219</v>
      </c>
      <c r="C71" s="7" t="str">
        <f>CONCATENATE(REPT("     ",UseCase.Scenario.Automatic!A71)," ",UseCase.Scenario.Automatic!B71)</f>
        <v xml:space="preserve">                objectIdentification</v>
      </c>
      <c r="D71" s="7" t="s">
        <v>201</v>
      </c>
      <c r="E71" s="7" t="s">
        <v>231</v>
      </c>
    </row>
    <row r="72" spans="1:5" x14ac:dyDescent="0.2">
      <c r="A72" s="7">
        <v>3</v>
      </c>
      <c r="B72" s="7" t="s">
        <v>220</v>
      </c>
      <c r="C72" s="7" t="str">
        <f>CONCATENATE(REPT("     ",UseCase.Scenario.Automatic!A72)," ",UseCase.Scenario.Automatic!B72)</f>
        <v xml:space="preserve">                classIdentification</v>
      </c>
      <c r="D72" s="7"/>
      <c r="E72" s="7" t="s">
        <v>232</v>
      </c>
    </row>
    <row r="73" spans="1:5" x14ac:dyDescent="0.2">
      <c r="A73" s="7">
        <v>2</v>
      </c>
      <c r="B73" s="7" t="s">
        <v>137</v>
      </c>
      <c r="C73" s="7" t="str">
        <f>CONCATENATE(REPT("     ",UseCase.Scenario.Automatic!A73)," ",UseCase.Scenario.Automatic!B73)</f>
        <v xml:space="preserve">           authentication</v>
      </c>
      <c r="D73" s="7" t="s">
        <v>187</v>
      </c>
      <c r="E73" s="7" t="s">
        <v>151</v>
      </c>
    </row>
    <row r="74" spans="1:5" x14ac:dyDescent="0.2">
      <c r="A74" s="7">
        <v>2</v>
      </c>
      <c r="B74" s="7" t="s">
        <v>138</v>
      </c>
      <c r="C74" s="7" t="str">
        <f>CONCATENATE(REPT("     ",UseCase.Scenario.Automatic!A74)," ",UseCase.Scenario.Automatic!B74)</f>
        <v xml:space="preserve">           authorization</v>
      </c>
      <c r="D74" s="7" t="s">
        <v>187</v>
      </c>
      <c r="E74" s="7" t="s">
        <v>152</v>
      </c>
    </row>
    <row r="75" spans="1:5" x14ac:dyDescent="0.2">
      <c r="A75" s="7">
        <v>2</v>
      </c>
      <c r="B75" s="7" t="s">
        <v>139</v>
      </c>
      <c r="C75" s="7" t="str">
        <f>CONCATENATE(REPT("     ",UseCase.Scenario.Automatic!A75)," ",UseCase.Scenario.Automatic!B75)</f>
        <v xml:space="preserve">           verification</v>
      </c>
      <c r="D75" s="7" t="s">
        <v>187</v>
      </c>
      <c r="E75" s="7" t="s">
        <v>153</v>
      </c>
    </row>
    <row r="76" spans="1:5" x14ac:dyDescent="0.2">
      <c r="A76" s="7">
        <v>2</v>
      </c>
      <c r="B76" s="7" t="s">
        <v>110</v>
      </c>
      <c r="C76" s="7" t="str">
        <f>CONCATENATE(REPT("     ",UseCase.Scenario.Automatic!A76)," ",UseCase.Scenario.Automatic!B76)</f>
        <v xml:space="preserve">           integrity</v>
      </c>
      <c r="D76" s="7" t="s">
        <v>187</v>
      </c>
      <c r="E76" s="7" t="s">
        <v>154</v>
      </c>
    </row>
    <row r="77" spans="1:5" x14ac:dyDescent="0.2">
      <c r="A77" s="7">
        <v>2</v>
      </c>
      <c r="B77" s="7" t="s">
        <v>221</v>
      </c>
      <c r="C77" s="7" t="str">
        <f>CONCATENATE(REPT("     ",UseCase.Scenario.Automatic!A77)," ",UseCase.Scenario.Automatic!B77)</f>
        <v xml:space="preserve">           configuration</v>
      </c>
      <c r="D77" s="7" t="s">
        <v>187</v>
      </c>
      <c r="E77" s="7" t="s">
        <v>155</v>
      </c>
    </row>
    <row r="78" spans="1:5" x14ac:dyDescent="0.2">
      <c r="A78" s="7">
        <v>2</v>
      </c>
      <c r="B78" s="7" t="s">
        <v>140</v>
      </c>
      <c r="C78" s="7" t="str">
        <f>CONCATENATE(REPT("     ",UseCase.Scenario.Automatic!A78)," ",UseCase.Scenario.Automatic!B78)</f>
        <v xml:space="preserve">           provenance</v>
      </c>
      <c r="D78" s="7" t="s">
        <v>187</v>
      </c>
      <c r="E78" s="7" t="s">
        <v>156</v>
      </c>
    </row>
    <row r="79" spans="1:5" ht="30" x14ac:dyDescent="0.2">
      <c r="A79" s="7">
        <v>1</v>
      </c>
      <c r="B79" s="7" t="s">
        <v>75</v>
      </c>
      <c r="C79" s="7" t="str">
        <f>CONCATENATE(REPT("     ",UseCase.Scenario.Automatic!A79)," ",UseCase.Scenario.Automatic!B79)</f>
        <v xml:space="preserve">      operations on data</v>
      </c>
      <c r="D79" s="7" t="s">
        <v>187</v>
      </c>
      <c r="E79" s="7" t="s">
        <v>76</v>
      </c>
    </row>
    <row r="80" spans="1:5" x14ac:dyDescent="0.2">
      <c r="A80" s="7">
        <v>2</v>
      </c>
      <c r="B80" s="7" t="s">
        <v>130</v>
      </c>
      <c r="C80" s="7" t="str">
        <f>CONCATENATE(REPT("     ",UseCase.Scenario.Automatic!A80)," ",UseCase.Scenario.Automatic!B80)</f>
        <v xml:space="preserve">           analytics</v>
      </c>
      <c r="D80" s="7" t="s">
        <v>187</v>
      </c>
      <c r="E80" s="7" t="s">
        <v>130</v>
      </c>
    </row>
    <row r="81" spans="1:5" x14ac:dyDescent="0.2">
      <c r="A81" s="7">
        <v>2</v>
      </c>
      <c r="B81" s="7" t="s">
        <v>125</v>
      </c>
      <c r="C81" s="7" t="str">
        <f>CONCATENATE(REPT("     ",UseCase.Scenario.Automatic!A81)," ",UseCase.Scenario.Automatic!B81)</f>
        <v xml:space="preserve">           fusion</v>
      </c>
      <c r="D81" s="7" t="s">
        <v>187</v>
      </c>
      <c r="E81" s="7" t="s">
        <v>127</v>
      </c>
    </row>
    <row r="82" spans="1:5" x14ac:dyDescent="0.2">
      <c r="A82" s="7">
        <v>2</v>
      </c>
      <c r="B82" s="7" t="s">
        <v>131</v>
      </c>
      <c r="C82" s="7" t="str">
        <f>CONCATENATE(REPT("     ",UseCase.Scenario.Automatic!A82)," ",UseCase.Scenario.Automatic!B82)</f>
        <v xml:space="preserve">           storage</v>
      </c>
      <c r="D82" s="7" t="s">
        <v>187</v>
      </c>
      <c r="E82" s="7" t="s">
        <v>128</v>
      </c>
    </row>
    <row r="83" spans="1:5" ht="30" x14ac:dyDescent="0.2">
      <c r="A83" s="7">
        <v>2</v>
      </c>
      <c r="B83" s="7" t="s">
        <v>132</v>
      </c>
      <c r="C83" s="7" t="str">
        <f>CONCATENATE(REPT("     ",UseCase.Scenario.Automatic!A83)," ",UseCase.Scenario.Automatic!B83)</f>
        <v xml:space="preserve">           aggregation/disaggregation</v>
      </c>
      <c r="D83" s="7" t="s">
        <v>187</v>
      </c>
      <c r="E83" s="7" t="s">
        <v>158</v>
      </c>
    </row>
    <row r="84" spans="1:5" x14ac:dyDescent="0.2">
      <c r="A84" s="7">
        <v>2</v>
      </c>
      <c r="B84" s="7" t="s">
        <v>133</v>
      </c>
      <c r="C84" s="7" t="str">
        <f>CONCATENATE(REPT("     ",UseCase.Scenario.Automatic!A84)," ",UseCase.Scenario.Automatic!B84)</f>
        <v xml:space="preserve">           transformation</v>
      </c>
      <c r="D84" s="7" t="s">
        <v>187</v>
      </c>
      <c r="E84" s="7" t="s">
        <v>157</v>
      </c>
    </row>
    <row r="85" spans="1:5" ht="30" x14ac:dyDescent="0.2">
      <c r="A85" s="7">
        <v>1</v>
      </c>
      <c r="B85" s="7" t="s">
        <v>77</v>
      </c>
      <c r="C85" s="7" t="str">
        <f>CONCATENATE(REPT("     ",UseCase.Scenario.Automatic!A85)," ",UseCase.Scenario.Automatic!B85)</f>
        <v xml:space="preserve">      relationship between data</v>
      </c>
      <c r="D85" s="7" t="s">
        <v>187</v>
      </c>
      <c r="E85" s="7" t="s">
        <v>78</v>
      </c>
    </row>
    <row r="86" spans="1:5" x14ac:dyDescent="0.2">
      <c r="A86" s="7">
        <v>2</v>
      </c>
      <c r="B86" s="7" t="s">
        <v>142</v>
      </c>
      <c r="C86" s="7" t="str">
        <f>CONCATENATE(REPT("     ",UseCase.Scenario.Automatic!A86)," ",UseCase.Scenario.Automatic!B86)</f>
        <v xml:space="preserve">           time of data</v>
      </c>
      <c r="D86" s="7" t="s">
        <v>187</v>
      </c>
      <c r="E86" s="7" t="s">
        <v>159</v>
      </c>
    </row>
    <row r="87" spans="1:5" ht="45" x14ac:dyDescent="0.2">
      <c r="A87" s="7">
        <v>2</v>
      </c>
      <c r="B87" s="7" t="s">
        <v>143</v>
      </c>
      <c r="C87" s="7" t="str">
        <f>CONCATENATE(REPT("     ",UseCase.Scenario.Automatic!A87)," ",UseCase.Scenario.Automatic!B87)</f>
        <v xml:space="preserve">           related data (including metadata)</v>
      </c>
      <c r="D87" s="7" t="s">
        <v>187</v>
      </c>
      <c r="E87" s="7" t="s">
        <v>160</v>
      </c>
    </row>
    <row r="88" spans="1:5" x14ac:dyDescent="0.2">
      <c r="A88" s="7">
        <v>2</v>
      </c>
      <c r="B88" s="7" t="s">
        <v>144</v>
      </c>
      <c r="C88" s="7" t="str">
        <f>CONCATENATE(REPT("     ",UseCase.Scenario.Automatic!A88)," ",UseCase.Scenario.Automatic!B88)</f>
        <v xml:space="preserve">           location of data</v>
      </c>
      <c r="D88" s="7" t="s">
        <v>187</v>
      </c>
      <c r="E88" s="7" t="s">
        <v>144</v>
      </c>
    </row>
    <row r="89" spans="1:5" x14ac:dyDescent="0.2">
      <c r="A89" s="7">
        <v>2</v>
      </c>
      <c r="B89" s="7" t="s">
        <v>145</v>
      </c>
      <c r="C89" s="7" t="str">
        <f>CONCATENATE(REPT("     ",UseCase.Scenario.Automatic!A89)," ",UseCase.Scenario.Automatic!B89)</f>
        <v xml:space="preserve">           inheritance</v>
      </c>
      <c r="D89" s="7" t="s">
        <v>187</v>
      </c>
      <c r="E89" s="7" t="s">
        <v>161</v>
      </c>
    </row>
    <row r="90" spans="1:5" x14ac:dyDescent="0.2">
      <c r="A90" s="7">
        <v>2</v>
      </c>
      <c r="B90" s="7" t="s">
        <v>146</v>
      </c>
      <c r="C90" s="7" t="str">
        <f>CONCATENATE(REPT("     ",UseCase.Scenario.Automatic!A90)," ",UseCase.Scenario.Automatic!B90)</f>
        <v xml:space="preserve">           polymorphism</v>
      </c>
      <c r="D90" s="7" t="s">
        <v>187</v>
      </c>
      <c r="E90" s="7" t="s">
        <v>162</v>
      </c>
    </row>
    <row r="91" spans="1:5" ht="30" x14ac:dyDescent="0.2">
      <c r="A91" s="7">
        <v>2</v>
      </c>
      <c r="B91" s="7" t="s">
        <v>163</v>
      </c>
      <c r="C91" s="7" t="str">
        <f>CONCATENATE(REPT("     ",UseCase.Scenario.Automatic!A91)," ",UseCase.Scenario.Automatic!B91)</f>
        <v xml:space="preserve">           directionality of relationships</v>
      </c>
      <c r="D91" s="7" t="s">
        <v>187</v>
      </c>
      <c r="E91" s="7" t="s">
        <v>147</v>
      </c>
    </row>
    <row r="92" spans="1:5" x14ac:dyDescent="0.2">
      <c r="A92" s="7">
        <v>2</v>
      </c>
      <c r="B92" s="7" t="s">
        <v>40</v>
      </c>
      <c r="C92" s="7" t="str">
        <f>CONCATENATE(REPT("     ",UseCase.Scenario.Automatic!A92)," ",UseCase.Scenario.Automatic!B92)</f>
        <v xml:space="preserve">           quality</v>
      </c>
      <c r="D92" s="7" t="s">
        <v>187</v>
      </c>
      <c r="E92" s="7" t="s">
        <v>164</v>
      </c>
    </row>
    <row r="93" spans="1:5" x14ac:dyDescent="0.2">
      <c r="A93" s="7">
        <v>1</v>
      </c>
      <c r="B93" s="7" t="s">
        <v>126</v>
      </c>
      <c r="C93" s="7" t="str">
        <f>CONCATENATE(REPT("     ",UseCase.Scenario.Automatic!A93)," ",UseCase.Scenario.Automatic!B93)</f>
        <v xml:space="preserve">      velocity</v>
      </c>
      <c r="D93" s="7" t="s">
        <v>187</v>
      </c>
      <c r="E93" s="7" t="s">
        <v>129</v>
      </c>
    </row>
    <row r="94" spans="1:5" ht="13" customHeight="1" x14ac:dyDescent="0.2">
      <c r="A94" s="5">
        <v>0</v>
      </c>
      <c r="B94" s="5" t="s">
        <v>9</v>
      </c>
      <c r="C94" s="5" t="str">
        <f>CONCATENATE(REPT("     ",UseCase.Scenario.Automatic!A94)," ",UseCase.Scenario.Automatic!B94)</f>
        <v xml:space="preserve"> Boundaries</v>
      </c>
      <c r="D94" s="5" t="s">
        <v>187</v>
      </c>
      <c r="E94" s="6" t="s">
        <v>121</v>
      </c>
    </row>
    <row r="95" spans="1:5" ht="30" x14ac:dyDescent="0.2">
      <c r="A95" s="7">
        <v>1</v>
      </c>
      <c r="B95" s="7" t="s">
        <v>79</v>
      </c>
      <c r="C95" s="7" t="str">
        <f>CONCATENATE(REPT("     ",UseCase.Scenario.Automatic!A95)," ",UseCase.Scenario.Automatic!B95)</f>
        <v xml:space="preserve">      behavioral</v>
      </c>
      <c r="D95" s="7" t="s">
        <v>187</v>
      </c>
      <c r="E95" s="7" t="s">
        <v>80</v>
      </c>
    </row>
    <row r="96" spans="1:5" x14ac:dyDescent="0.2">
      <c r="A96" s="7">
        <v>1</v>
      </c>
      <c r="B96" s="7" t="s">
        <v>81</v>
      </c>
      <c r="C96" s="7" t="str">
        <f>CONCATENATE(REPT("     ",UseCase.Scenario.Automatic!A96)," ",UseCase.Scenario.Automatic!B96)</f>
        <v xml:space="preserve">      networkability</v>
      </c>
      <c r="D96" s="7" t="s">
        <v>187</v>
      </c>
      <c r="E96" s="7" t="s">
        <v>82</v>
      </c>
    </row>
    <row r="97" spans="1:5" x14ac:dyDescent="0.2">
      <c r="A97" s="7">
        <v>1</v>
      </c>
      <c r="B97" s="7" t="s">
        <v>83</v>
      </c>
      <c r="C97" s="7" t="str">
        <f>CONCATENATE(REPT("     ",UseCase.Scenario.Automatic!A97)," ",UseCase.Scenario.Automatic!B97)</f>
        <v xml:space="preserve">      responsibility</v>
      </c>
      <c r="D97" s="7" t="s">
        <v>187</v>
      </c>
      <c r="E97" s="7" t="s">
        <v>84</v>
      </c>
    </row>
    <row r="98" spans="1:5" ht="45" x14ac:dyDescent="0.2">
      <c r="A98" s="5">
        <v>0</v>
      </c>
      <c r="B98" s="5" t="s">
        <v>10</v>
      </c>
      <c r="C98" s="5" t="str">
        <f>CONCATENATE(REPT("     ",UseCase.Scenario.Automatic!A98)," ",UseCase.Scenario.Automatic!B98)</f>
        <v xml:space="preserve"> Composition</v>
      </c>
      <c r="D98" s="5" t="s">
        <v>187</v>
      </c>
      <c r="E98" s="6" t="s">
        <v>122</v>
      </c>
    </row>
    <row r="99" spans="1:5" ht="30" x14ac:dyDescent="0.2">
      <c r="A99" s="7">
        <v>1</v>
      </c>
      <c r="B99" s="7" t="s">
        <v>85</v>
      </c>
      <c r="C99" s="7" t="str">
        <f>CONCATENATE(REPT("     ",UseCase.Scenario.Automatic!A99)," ",UseCase.Scenario.Automatic!B99)</f>
        <v xml:space="preserve">      adaptability</v>
      </c>
      <c r="D99" s="7" t="s">
        <v>187</v>
      </c>
      <c r="E99" s="7" t="s">
        <v>86</v>
      </c>
    </row>
    <row r="100" spans="1:5" ht="30" x14ac:dyDescent="0.2">
      <c r="A100" s="7">
        <v>1</v>
      </c>
      <c r="B100" s="7" t="s">
        <v>87</v>
      </c>
      <c r="C100" s="7" t="str">
        <f>CONCATENATE(REPT("     ",UseCase.Scenario.Automatic!A100)," ",UseCase.Scenario.Automatic!B100)</f>
        <v xml:space="preserve">      complexity</v>
      </c>
      <c r="D100" s="7" t="s">
        <v>187</v>
      </c>
      <c r="E100" s="7" t="s">
        <v>88</v>
      </c>
    </row>
    <row r="101" spans="1:5" x14ac:dyDescent="0.2">
      <c r="A101" s="7">
        <v>1</v>
      </c>
      <c r="B101" s="7" t="s">
        <v>89</v>
      </c>
      <c r="C101" s="7" t="str">
        <f>CONCATENATE(REPT("     ",UseCase.Scenario.Automatic!A101)," ",UseCase.Scenario.Automatic!B101)</f>
        <v xml:space="preserve">      constructivity</v>
      </c>
      <c r="D101" s="7" t="s">
        <v>187</v>
      </c>
      <c r="E101" s="7" t="s">
        <v>90</v>
      </c>
    </row>
    <row r="102" spans="1:5" ht="45" x14ac:dyDescent="0.2">
      <c r="A102" s="7">
        <v>1</v>
      </c>
      <c r="B102" s="7" t="s">
        <v>91</v>
      </c>
      <c r="C102" s="7" t="str">
        <f>CONCATENATE(REPT("     ",UseCase.Scenario.Automatic!A102)," ",UseCase.Scenario.Automatic!B102)</f>
        <v xml:space="preserve">      discoverability</v>
      </c>
      <c r="D102" s="7" t="s">
        <v>187</v>
      </c>
      <c r="E102" s="7" t="s">
        <v>92</v>
      </c>
    </row>
    <row r="103" spans="1:5" x14ac:dyDescent="0.2">
      <c r="A103" s="5">
        <v>0</v>
      </c>
      <c r="B103" s="5" t="s">
        <v>11</v>
      </c>
      <c r="C103" s="5" t="str">
        <f>CONCATENATE(REPT("     ",UseCase.Scenario.Automatic!A103)," ",UseCase.Scenario.Automatic!B103)</f>
        <v xml:space="preserve"> Lifecycle</v>
      </c>
      <c r="D103" s="5" t="s">
        <v>187</v>
      </c>
      <c r="E103" s="6" t="s">
        <v>123</v>
      </c>
    </row>
    <row r="104" spans="1:5" x14ac:dyDescent="0.2">
      <c r="A104" s="7">
        <v>1</v>
      </c>
      <c r="B104" s="7" t="s">
        <v>93</v>
      </c>
      <c r="C104" s="7" t="str">
        <f>CONCATENATE(REPT("     ",UseCase.Scenario.Automatic!A104)," ",UseCase.Scenario.Automatic!B104)</f>
        <v xml:space="preserve">      deployability</v>
      </c>
      <c r="D104" s="7" t="s">
        <v>187</v>
      </c>
      <c r="E104" s="7" t="s">
        <v>94</v>
      </c>
    </row>
    <row r="105" spans="1:5" x14ac:dyDescent="0.2">
      <c r="A105" s="7">
        <v>1</v>
      </c>
      <c r="B105" s="7" t="s">
        <v>95</v>
      </c>
      <c r="C105" s="7" t="str">
        <f>CONCATENATE(REPT("     ",UseCase.Scenario.Automatic!A105)," ",UseCase.Scenario.Automatic!B105)</f>
        <v xml:space="preserve">      disposability</v>
      </c>
      <c r="D105" s="7" t="s">
        <v>187</v>
      </c>
      <c r="E105" s="7" t="s">
        <v>96</v>
      </c>
    </row>
    <row r="106" spans="1:5" ht="30" x14ac:dyDescent="0.2">
      <c r="A106" s="7">
        <v>1</v>
      </c>
      <c r="B106" s="7" t="s">
        <v>97</v>
      </c>
      <c r="C106" s="7" t="str">
        <f>CONCATENATE(REPT("     ",UseCase.Scenario.Automatic!A106)," ",UseCase.Scenario.Automatic!B106)</f>
        <v xml:space="preserve">      engineerability</v>
      </c>
      <c r="D106" s="7" t="s">
        <v>187</v>
      </c>
      <c r="E106" s="7" t="s">
        <v>98</v>
      </c>
    </row>
    <row r="107" spans="1:5" x14ac:dyDescent="0.2">
      <c r="A107" s="7">
        <v>1</v>
      </c>
      <c r="B107" s="7" t="s">
        <v>99</v>
      </c>
      <c r="C107" s="7" t="str">
        <f>CONCATENATE(REPT("     ",UseCase.Scenario.Automatic!A107)," ",UseCase.Scenario.Automatic!B107)</f>
        <v xml:space="preserve">      maintainability</v>
      </c>
      <c r="D107" s="7" t="s">
        <v>187</v>
      </c>
      <c r="E107" s="7" t="s">
        <v>100</v>
      </c>
    </row>
    <row r="108" spans="1:5" x14ac:dyDescent="0.2">
      <c r="A108" s="7">
        <v>1</v>
      </c>
      <c r="B108" s="7" t="s">
        <v>101</v>
      </c>
      <c r="C108" s="7" t="str">
        <f>CONCATENATE(REPT("     ",UseCase.Scenario.Automatic!A108)," ",UseCase.Scenario.Automatic!B108)</f>
        <v xml:space="preserve">      operatability</v>
      </c>
      <c r="D108" s="7" t="s">
        <v>187</v>
      </c>
      <c r="E108" s="7" t="s">
        <v>102</v>
      </c>
    </row>
    <row r="109" spans="1:5" x14ac:dyDescent="0.2">
      <c r="A109" s="7">
        <v>1</v>
      </c>
      <c r="B109" s="7" t="s">
        <v>103</v>
      </c>
      <c r="C109" s="7" t="str">
        <f>CONCATENATE(REPT("     ",UseCase.Scenario.Automatic!A109)," ",UseCase.Scenario.Automatic!B109)</f>
        <v xml:space="preserve">      procureability</v>
      </c>
      <c r="D109" s="7" t="s">
        <v>187</v>
      </c>
      <c r="E109" s="7" t="s">
        <v>104</v>
      </c>
    </row>
    <row r="110" spans="1:5" x14ac:dyDescent="0.2">
      <c r="A110" s="7">
        <v>1</v>
      </c>
      <c r="B110" s="7" t="s">
        <v>105</v>
      </c>
      <c r="C110" s="7" t="str">
        <f>CONCATENATE(REPT("     ",UseCase.Scenario.Automatic!A110)," ",UseCase.Scenario.Automatic!B110)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J110"/>
  <sheetViews>
    <sheetView zoomScale="85" zoomScaleNormal="85" zoomScalePageLayoutView="85" workbookViewId="0">
      <pane ySplit="4" topLeftCell="A34" activePane="bottomLeft" state="frozen"/>
      <selection pane="bottomLeft" activeCell="F50" sqref="F50"/>
    </sheetView>
  </sheetViews>
  <sheetFormatPr baseColWidth="10" defaultColWidth="8.83203125" defaultRowHeight="15" x14ac:dyDescent="0.2"/>
  <cols>
    <col min="1" max="1" width="15.33203125" style="3" customWidth="1"/>
    <col min="2" max="2" width="15.33203125" style="3" hidden="1" customWidth="1"/>
    <col min="3" max="3" width="40.5" style="3" customWidth="1"/>
    <col min="4" max="4" width="40.5" style="3" hidden="1" customWidth="1"/>
    <col min="5" max="5" width="105.83203125" style="3" customWidth="1"/>
    <col min="6" max="7" width="50.33203125" style="3" customWidth="1"/>
    <col min="8" max="8" width="12.6640625" style="3" customWidth="1"/>
    <col min="9" max="9" width="35.5" style="3" customWidth="1"/>
    <col min="10" max="10" width="82.1640625" style="3" customWidth="1"/>
    <col min="11" max="16384" width="8.83203125" style="3"/>
  </cols>
  <sheetData>
    <row r="1" spans="1:10" ht="34" x14ac:dyDescent="0.2">
      <c r="A1" s="8">
        <f ca="1">NOW()</f>
        <v>42636.659261111112</v>
      </c>
      <c r="E1" s="4" t="s">
        <v>124</v>
      </c>
    </row>
    <row r="3" spans="1:10" x14ac:dyDescent="0.2">
      <c r="F3" s="9" t="s">
        <v>238</v>
      </c>
      <c r="G3" s="9"/>
      <c r="H3" s="9"/>
      <c r="I3" s="9"/>
      <c r="J3" s="9"/>
    </row>
    <row r="4" spans="1:10" s="2" customFormat="1" ht="24" x14ac:dyDescent="0.2">
      <c r="A4" s="1" t="s">
        <v>0</v>
      </c>
      <c r="B4" s="1" t="s">
        <v>165</v>
      </c>
      <c r="C4" s="1" t="s">
        <v>225</v>
      </c>
      <c r="D4" s="1" t="s">
        <v>186</v>
      </c>
      <c r="E4" s="1" t="s">
        <v>1</v>
      </c>
      <c r="F4" s="2" t="s">
        <v>235</v>
      </c>
      <c r="G4" s="2" t="s">
        <v>236</v>
      </c>
      <c r="H4" s="2" t="s">
        <v>237</v>
      </c>
      <c r="I4" s="2" t="s">
        <v>233</v>
      </c>
      <c r="J4" s="2" t="s">
        <v>234</v>
      </c>
    </row>
    <row r="5" spans="1:10" x14ac:dyDescent="0.2">
      <c r="A5" s="5">
        <v>0</v>
      </c>
      <c r="B5" s="5" t="s">
        <v>3</v>
      </c>
      <c r="C5" s="5" t="str">
        <f>CONCATENATE(REPT("     ",Interactions.WiFiMsgng!A5)," ",Interactions.WiFiMsgng!B5)</f>
        <v xml:space="preserve"> Functional</v>
      </c>
      <c r="D5" s="5" t="s">
        <v>187</v>
      </c>
      <c r="E5" s="6" t="s">
        <v>115</v>
      </c>
    </row>
    <row r="6" spans="1:10" x14ac:dyDescent="0.2">
      <c r="A6" s="7">
        <v>1</v>
      </c>
      <c r="B6" s="7" t="s">
        <v>12</v>
      </c>
      <c r="C6" s="7" t="str">
        <f>CONCATENATE(REPT("     ",Interactions.WiFiMsgng!A6)," ",Interactions.WiFiMsgng!B6)</f>
        <v xml:space="preserve">      actuation</v>
      </c>
      <c r="D6" s="7" t="s">
        <v>187</v>
      </c>
      <c r="E6" s="7" t="s">
        <v>13</v>
      </c>
    </row>
    <row r="7" spans="1:10" x14ac:dyDescent="0.2">
      <c r="A7" s="7">
        <v>1</v>
      </c>
      <c r="B7" s="7" t="s">
        <v>14</v>
      </c>
      <c r="C7" s="7" t="str">
        <f>CONCATENATE(REPT("     ",Interactions.WiFiMsgng!A7)," ",Interactions.WiFiMsgng!B7)</f>
        <v xml:space="preserve">      communication</v>
      </c>
      <c r="D7" s="7" t="s">
        <v>187</v>
      </c>
      <c r="E7" s="7" t="s">
        <v>15</v>
      </c>
    </row>
    <row r="8" spans="1:10" ht="30" x14ac:dyDescent="0.2">
      <c r="A8" s="7">
        <v>2</v>
      </c>
      <c r="B8" s="7" t="s">
        <v>166</v>
      </c>
      <c r="C8" s="7" t="str">
        <f>CONCATENATE(REPT("     ",Interactions.WiFiMsgng!A8)," ",Interactions.WiFiMsgng!B8)</f>
        <v xml:space="preserve">           Syntactic Interoperability</v>
      </c>
      <c r="D8" s="7" t="s">
        <v>167</v>
      </c>
      <c r="E8" s="7" t="s">
        <v>202</v>
      </c>
    </row>
    <row r="9" spans="1:10" x14ac:dyDescent="0.2">
      <c r="A9" s="7">
        <v>3</v>
      </c>
      <c r="B9" s="7" t="s">
        <v>168</v>
      </c>
      <c r="C9" s="7" t="str">
        <f>CONCATENATE(REPT("     ",Interactions.WiFiMsgng!A9)," ",Interactions.WiFiMsgng!B9)</f>
        <v xml:space="preserve">                OSI-Application</v>
      </c>
      <c r="D9" s="7" t="s">
        <v>169</v>
      </c>
      <c r="E9" s="7" t="s">
        <v>203</v>
      </c>
    </row>
    <row r="10" spans="1:10" x14ac:dyDescent="0.2">
      <c r="A10" s="7">
        <v>3</v>
      </c>
      <c r="B10" s="7" t="s">
        <v>170</v>
      </c>
      <c r="C10" s="7" t="str">
        <f>CONCATENATE(REPT("     ",Interactions.WiFiMsgng!A10)," ",Interactions.WiFiMsgng!B10)</f>
        <v xml:space="preserve">                OSI-Presentation</v>
      </c>
      <c r="D10" s="7" t="s">
        <v>171</v>
      </c>
      <c r="E10" s="7" t="s">
        <v>204</v>
      </c>
    </row>
    <row r="11" spans="1:10" ht="30" x14ac:dyDescent="0.2">
      <c r="A11" s="7">
        <v>2</v>
      </c>
      <c r="B11" s="7" t="s">
        <v>172</v>
      </c>
      <c r="C11" s="7" t="str">
        <f>CONCATENATE(REPT("     ",Interactions.WiFiMsgng!A11)," ",Interactions.WiFiMsgng!B11)</f>
        <v xml:space="preserve">           Network Interoperability</v>
      </c>
      <c r="D11" s="7" t="s">
        <v>173</v>
      </c>
      <c r="E11" s="7" t="s">
        <v>205</v>
      </c>
    </row>
    <row r="12" spans="1:10" x14ac:dyDescent="0.2">
      <c r="A12" s="7">
        <v>3</v>
      </c>
      <c r="B12" s="7" t="s">
        <v>174</v>
      </c>
      <c r="C12" s="7" t="str">
        <f>CONCATENATE(REPT("     ",Interactions.WiFiMsgng!A12)," ",Interactions.WiFiMsgng!B12)</f>
        <v xml:space="preserve">                OSI-Session</v>
      </c>
      <c r="D12" s="7" t="s">
        <v>175</v>
      </c>
      <c r="E12" s="7" t="s">
        <v>226</v>
      </c>
    </row>
    <row r="13" spans="1:10" x14ac:dyDescent="0.2">
      <c r="A13" s="7">
        <v>3</v>
      </c>
      <c r="B13" s="7" t="s">
        <v>176</v>
      </c>
      <c r="C13" s="7" t="str">
        <f>CONCATENATE(REPT("     ",Interactions.WiFiMsgng!A13)," ",Interactions.WiFiMsgng!B13)</f>
        <v xml:space="preserve">                OSI-Transport</v>
      </c>
      <c r="D13" s="7" t="s">
        <v>177</v>
      </c>
      <c r="E13" s="7" t="s">
        <v>206</v>
      </c>
    </row>
    <row r="14" spans="1:10" x14ac:dyDescent="0.2">
      <c r="A14" s="7">
        <v>3</v>
      </c>
      <c r="B14" s="7" t="s">
        <v>178</v>
      </c>
      <c r="C14" s="7" t="str">
        <f>CONCATENATE(REPT("     ",Interactions.WiFiMsgng!A14)," ",Interactions.WiFiMsgng!B14)</f>
        <v xml:space="preserve">                OSI-Network</v>
      </c>
      <c r="D14" s="7" t="s">
        <v>179</v>
      </c>
      <c r="E14" s="7" t="s">
        <v>207</v>
      </c>
    </row>
    <row r="15" spans="1:10" x14ac:dyDescent="0.2">
      <c r="A15" s="7">
        <v>2</v>
      </c>
      <c r="B15" s="7" t="s">
        <v>180</v>
      </c>
      <c r="C15" s="7" t="str">
        <f>CONCATENATE(REPT("     ",Interactions.WiFiMsgng!A15)," ",Interactions.WiFiMsgng!B15)</f>
        <v xml:space="preserve">           Basic Connectivity</v>
      </c>
      <c r="D15" s="7" t="s">
        <v>181</v>
      </c>
      <c r="E15" s="7" t="s">
        <v>208</v>
      </c>
    </row>
    <row r="16" spans="1:10" x14ac:dyDescent="0.2">
      <c r="A16" s="7">
        <v>3</v>
      </c>
      <c r="B16" s="7" t="s">
        <v>182</v>
      </c>
      <c r="C16" s="7" t="str">
        <f>CONCATENATE(REPT("     ",Interactions.WiFiMsgng!A16)," ",Interactions.WiFiMsgng!B16)</f>
        <v xml:space="preserve">                OSI-Data Link</v>
      </c>
      <c r="D16" s="7" t="s">
        <v>183</v>
      </c>
      <c r="E16" s="7" t="s">
        <v>209</v>
      </c>
    </row>
    <row r="17" spans="1:5" x14ac:dyDescent="0.2">
      <c r="A17" s="7">
        <v>3</v>
      </c>
      <c r="B17" s="7" t="s">
        <v>184</v>
      </c>
      <c r="C17" s="7" t="str">
        <f>CONCATENATE(REPT("     ",Interactions.WiFiMsgng!A17)," ",Interactions.WiFiMsgng!B17)</f>
        <v xml:space="preserve">                OSI-Physical</v>
      </c>
      <c r="D17" s="7" t="s">
        <v>185</v>
      </c>
      <c r="E17" s="7" t="s">
        <v>210</v>
      </c>
    </row>
    <row r="18" spans="1:5" ht="45" x14ac:dyDescent="0.2">
      <c r="A18" s="7">
        <v>1</v>
      </c>
      <c r="B18" s="7" t="s">
        <v>16</v>
      </c>
      <c r="C18" s="7" t="str">
        <f>CONCATENATE(REPT("     ",Interactions.WiFiMsgng!A18)," ",Interactions.WiFiMsgng!B18)</f>
        <v xml:space="preserve">      controllability</v>
      </c>
      <c r="D18" s="7" t="s">
        <v>187</v>
      </c>
      <c r="E18" s="7" t="s">
        <v>17</v>
      </c>
    </row>
    <row r="19" spans="1:5" x14ac:dyDescent="0.2">
      <c r="A19" s="7">
        <v>1</v>
      </c>
      <c r="B19" s="7" t="s">
        <v>18</v>
      </c>
      <c r="C19" s="7" t="str">
        <f>CONCATENATE(REPT("     ",Interactions.WiFiMsgng!A19)," ",Interactions.WiFiMsgng!B19)</f>
        <v xml:space="preserve">      functionality</v>
      </c>
      <c r="D19" s="7" t="s">
        <v>187</v>
      </c>
      <c r="E19" s="7" t="s">
        <v>19</v>
      </c>
    </row>
    <row r="20" spans="1:5" x14ac:dyDescent="0.2">
      <c r="A20" s="7">
        <v>1</v>
      </c>
      <c r="B20" s="7" t="s">
        <v>20</v>
      </c>
      <c r="C20" s="7" t="str">
        <f>CONCATENATE(REPT("     ",Interactions.WiFiMsgng!A20)," ",Interactions.WiFiMsgng!B20)</f>
        <v xml:space="preserve">      measurability</v>
      </c>
      <c r="D20" s="7" t="s">
        <v>187</v>
      </c>
      <c r="E20" s="7" t="s">
        <v>21</v>
      </c>
    </row>
    <row r="21" spans="1:5" ht="30" x14ac:dyDescent="0.2">
      <c r="A21" s="7">
        <v>1</v>
      </c>
      <c r="B21" s="7" t="s">
        <v>22</v>
      </c>
      <c r="C21" s="7" t="str">
        <f>CONCATENATE(REPT("     ",Interactions.WiFiMsgng!A21)," ",Interactions.WiFiMsgng!B21)</f>
        <v xml:space="preserve">      monitorability</v>
      </c>
      <c r="D21" s="7" t="s">
        <v>187</v>
      </c>
      <c r="E21" s="7" t="s">
        <v>23</v>
      </c>
    </row>
    <row r="22" spans="1:5" x14ac:dyDescent="0.2">
      <c r="A22" s="7">
        <v>1</v>
      </c>
      <c r="B22" s="7" t="s">
        <v>24</v>
      </c>
      <c r="C22" s="7" t="str">
        <f>CONCATENATE(REPT("     ",Interactions.WiFiMsgng!A22)," ",Interactions.WiFiMsgng!B22)</f>
        <v xml:space="preserve">      performance</v>
      </c>
      <c r="D22" s="7" t="s">
        <v>187</v>
      </c>
      <c r="E22" s="7" t="s">
        <v>25</v>
      </c>
    </row>
    <row r="23" spans="1:5" x14ac:dyDescent="0.2">
      <c r="A23" s="7">
        <v>1</v>
      </c>
      <c r="B23" s="7" t="s">
        <v>26</v>
      </c>
      <c r="C23" s="7" t="str">
        <f>CONCATENATE(REPT("     ",Interactions.WiFiMsgng!A23)," ",Interactions.WiFiMsgng!B23)</f>
        <v xml:space="preserve">      physical</v>
      </c>
      <c r="D23" s="7" t="s">
        <v>187</v>
      </c>
      <c r="E23" s="7" t="s">
        <v>27</v>
      </c>
    </row>
    <row r="24" spans="1:5" ht="45" x14ac:dyDescent="0.2">
      <c r="A24" s="7">
        <v>1</v>
      </c>
      <c r="B24" s="7" t="s">
        <v>28</v>
      </c>
      <c r="C24" s="7" t="str">
        <f>CONCATENATE(REPT("     ",Interactions.WiFiMsgng!A24)," ",Interactions.WiFiMsgng!B24)</f>
        <v xml:space="preserve">      physical context</v>
      </c>
      <c r="D24" s="7" t="s">
        <v>187</v>
      </c>
      <c r="E24" s="7" t="s">
        <v>29</v>
      </c>
    </row>
    <row r="25" spans="1:5" x14ac:dyDescent="0.2">
      <c r="A25" s="7">
        <v>1</v>
      </c>
      <c r="B25" s="7" t="s">
        <v>30</v>
      </c>
      <c r="C25" s="7" t="str">
        <f>CONCATENATE(REPT("     ",Interactions.WiFiMsgng!A25)," ",Interactions.WiFiMsgng!B25)</f>
        <v xml:space="preserve">      sensing</v>
      </c>
      <c r="D25" s="7" t="s">
        <v>187</v>
      </c>
      <c r="E25" s="7" t="s">
        <v>31</v>
      </c>
    </row>
    <row r="26" spans="1:5" ht="90" x14ac:dyDescent="0.2">
      <c r="A26" s="7">
        <v>1</v>
      </c>
      <c r="B26" s="7" t="s">
        <v>32</v>
      </c>
      <c r="C26" s="7" t="str">
        <f>CONCATENATE(REPT("     ",Interactions.WiFiMsgng!A26)," ",Interactions.WiFiMsgng!B26)</f>
        <v xml:space="preserve">      uncertainty</v>
      </c>
      <c r="D26" s="7" t="s">
        <v>187</v>
      </c>
      <c r="E26" s="7" t="s">
        <v>33</v>
      </c>
    </row>
    <row r="27" spans="1:5" x14ac:dyDescent="0.2">
      <c r="A27" s="7">
        <v>1</v>
      </c>
      <c r="B27" s="7" t="s">
        <v>188</v>
      </c>
      <c r="C27" s="7" t="str">
        <f>CONCATENATE(REPT("     ",Interactions.WiFiMsgng!A27)," ",Interactions.WiFiMsgng!B27)</f>
        <v xml:space="preserve">      statesAndModes</v>
      </c>
      <c r="D27" s="7" t="s">
        <v>189</v>
      </c>
      <c r="E27" s="7" t="s">
        <v>224</v>
      </c>
    </row>
    <row r="28" spans="1:5" x14ac:dyDescent="0.2">
      <c r="A28" s="7">
        <v>1</v>
      </c>
      <c r="B28" s="7" t="s">
        <v>222</v>
      </c>
      <c r="C28" s="7" t="str">
        <f>CONCATENATE(REPT("     ",Interactions.WiFiMsgng!A28)," ",Interactions.WiFiMsgng!B28)</f>
        <v xml:space="preserve">      manageability</v>
      </c>
      <c r="D28" s="7"/>
      <c r="E28" s="7" t="s">
        <v>223</v>
      </c>
    </row>
    <row r="29" spans="1:5" ht="44" customHeight="1" x14ac:dyDescent="0.2">
      <c r="A29" s="7">
        <v>2</v>
      </c>
      <c r="B29" s="7" t="s">
        <v>194</v>
      </c>
      <c r="C29" s="7" t="str">
        <f>CONCATENATE(REPT("     ",Interactions.WiFiMsgng!A29)," ",Interactions.WiFiMsgng!B29)</f>
        <v xml:space="preserve">           configurationManagement</v>
      </c>
      <c r="D29" s="7" t="s">
        <v>190</v>
      </c>
      <c r="E29" s="7" t="s">
        <v>227</v>
      </c>
    </row>
    <row r="30" spans="1:5" ht="30" x14ac:dyDescent="0.2">
      <c r="A30" s="7">
        <v>2</v>
      </c>
      <c r="B30" s="7" t="s">
        <v>195</v>
      </c>
      <c r="C30" s="7" t="str">
        <f>CONCATENATE(REPT("     ",Interactions.WiFiMsgng!A30)," ",Interactions.WiFiMsgng!B30)</f>
        <v xml:space="preserve">           configurationForLeastFFunctionality</v>
      </c>
      <c r="D30" s="7" t="s">
        <v>191</v>
      </c>
      <c r="E30" s="7" t="s">
        <v>212</v>
      </c>
    </row>
    <row r="31" spans="1:5" ht="30" x14ac:dyDescent="0.2">
      <c r="A31" s="7">
        <v>2</v>
      </c>
      <c r="B31" s="7" t="s">
        <v>192</v>
      </c>
      <c r="C31" s="7" t="str">
        <f>CONCATENATE(REPT("     ",Interactions.WiFiMsgng!A31)," ",Interactions.WiFiMsgng!B31)</f>
        <v xml:space="preserve">           Component Inventory</v>
      </c>
      <c r="D31" s="7" t="s">
        <v>193</v>
      </c>
      <c r="E31" s="7" t="s">
        <v>213</v>
      </c>
    </row>
    <row r="32" spans="1:5" x14ac:dyDescent="0.2">
      <c r="A32" s="5">
        <v>0</v>
      </c>
      <c r="B32" s="5" t="s">
        <v>4</v>
      </c>
      <c r="C32" s="5" t="str">
        <f>CONCATENATE(REPT("     ",Interactions.WiFiMsgng!A32)," ",Interactions.WiFiMsgng!B32)</f>
        <v xml:space="preserve"> Business</v>
      </c>
      <c r="D32" s="5" t="s">
        <v>187</v>
      </c>
      <c r="E32" s="6" t="s">
        <v>116</v>
      </c>
    </row>
    <row r="33" spans="1:5" x14ac:dyDescent="0.2">
      <c r="A33" s="7">
        <v>1</v>
      </c>
      <c r="B33" s="7" t="s">
        <v>34</v>
      </c>
      <c r="C33" s="7" t="str">
        <f>CONCATENATE(REPT("     ",Interactions.WiFiMsgng!A33)," ",Interactions.WiFiMsgng!B33)</f>
        <v xml:space="preserve">      enterprise</v>
      </c>
      <c r="D33" s="7" t="s">
        <v>187</v>
      </c>
      <c r="E33" s="7" t="s">
        <v>35</v>
      </c>
    </row>
    <row r="34" spans="1:5" x14ac:dyDescent="0.2">
      <c r="A34" s="7">
        <v>1</v>
      </c>
      <c r="B34" s="7" t="s">
        <v>2</v>
      </c>
      <c r="C34" s="7" t="str">
        <f>CONCATENATE(REPT("     ",Interactions.WiFiMsgng!A34)," ",Interactions.WiFiMsgng!B34)</f>
        <v xml:space="preserve">      cost</v>
      </c>
      <c r="D34" s="7" t="s">
        <v>187</v>
      </c>
      <c r="E34" s="7" t="s">
        <v>36</v>
      </c>
    </row>
    <row r="35" spans="1:5" x14ac:dyDescent="0.2">
      <c r="A35" s="7">
        <v>1</v>
      </c>
      <c r="B35" s="7" t="s">
        <v>37</v>
      </c>
      <c r="C35" s="7" t="str">
        <f>CONCATENATE(REPT("     ",Interactions.WiFiMsgng!A35)," ",Interactions.WiFiMsgng!B35)</f>
        <v xml:space="preserve">      environment</v>
      </c>
      <c r="D35" s="7" t="s">
        <v>187</v>
      </c>
      <c r="E35" s="7" t="s">
        <v>197</v>
      </c>
    </row>
    <row r="36" spans="1:5" x14ac:dyDescent="0.2">
      <c r="A36" s="7">
        <v>1</v>
      </c>
      <c r="B36" s="7" t="s">
        <v>38</v>
      </c>
      <c r="C36" s="7" t="str">
        <f>CONCATENATE(REPT("     ",Interactions.WiFiMsgng!A36)," ",Interactions.WiFiMsgng!B36)</f>
        <v xml:space="preserve">      policy</v>
      </c>
      <c r="D36" s="7" t="s">
        <v>187</v>
      </c>
      <c r="E36" s="7" t="s">
        <v>39</v>
      </c>
    </row>
    <row r="37" spans="1:5" x14ac:dyDescent="0.2">
      <c r="A37" s="7">
        <v>1</v>
      </c>
      <c r="B37" s="7" t="s">
        <v>40</v>
      </c>
      <c r="C37" s="7" t="str">
        <f>CONCATENATE(REPT("     ",Interactions.WiFiMsgng!A37)," ",Interactions.WiFiMsgng!B37)</f>
        <v xml:space="preserve">      quality</v>
      </c>
      <c r="D37" s="7" t="s">
        <v>187</v>
      </c>
      <c r="E37" s="7" t="s">
        <v>41</v>
      </c>
    </row>
    <row r="38" spans="1:5" x14ac:dyDescent="0.2">
      <c r="A38" s="7">
        <v>1</v>
      </c>
      <c r="B38" s="7" t="s">
        <v>42</v>
      </c>
      <c r="C38" s="7" t="str">
        <f>CONCATENATE(REPT("     ",Interactions.WiFiMsgng!A38)," ",Interactions.WiFiMsgng!B38)</f>
        <v xml:space="preserve">      regulatory</v>
      </c>
      <c r="D38" s="7" t="s">
        <v>187</v>
      </c>
      <c r="E38" s="7" t="s">
        <v>43</v>
      </c>
    </row>
    <row r="39" spans="1:5" x14ac:dyDescent="0.2">
      <c r="A39" s="7">
        <v>1</v>
      </c>
      <c r="B39" s="7" t="s">
        <v>44</v>
      </c>
      <c r="C39" s="7" t="str">
        <f>CONCATENATE(REPT("     ",Interactions.WiFiMsgng!A39)," ",Interactions.WiFiMsgng!B39)</f>
        <v xml:space="preserve">      time to market</v>
      </c>
      <c r="D39" s="7" t="s">
        <v>187</v>
      </c>
      <c r="E39" s="7" t="s">
        <v>45</v>
      </c>
    </row>
    <row r="40" spans="1:5" ht="30" x14ac:dyDescent="0.2">
      <c r="A40" s="7">
        <v>1</v>
      </c>
      <c r="B40" s="7" t="s">
        <v>46</v>
      </c>
      <c r="C40" s="7" t="str">
        <f>CONCATENATE(REPT("     ",Interactions.WiFiMsgng!A40)," ",Interactions.WiFiMsgng!B40)</f>
        <v xml:space="preserve">      utility</v>
      </c>
      <c r="D40" s="7" t="s">
        <v>187</v>
      </c>
      <c r="E40" s="7" t="s">
        <v>47</v>
      </c>
    </row>
    <row r="41" spans="1:5" x14ac:dyDescent="0.2">
      <c r="A41" s="7">
        <v>1</v>
      </c>
      <c r="B41" s="7" t="s">
        <v>196</v>
      </c>
      <c r="C41" s="7" t="str">
        <f>CONCATENATE(REPT("     ",Interactions.WiFiMsgng!A41)," ",Interactions.WiFiMsgng!B41)</f>
        <v xml:space="preserve">      Planning</v>
      </c>
      <c r="D41" s="7"/>
      <c r="E41" s="7" t="s">
        <v>211</v>
      </c>
    </row>
    <row r="42" spans="1:5" x14ac:dyDescent="0.2">
      <c r="A42" s="5">
        <v>0</v>
      </c>
      <c r="B42" s="5" t="s">
        <v>5</v>
      </c>
      <c r="C42" s="5" t="str">
        <f>CONCATENATE(REPT("     ",Interactions.WiFiMsgng!A42)," ",Interactions.WiFiMsgng!B42)</f>
        <v xml:space="preserve"> Human</v>
      </c>
      <c r="D42" s="5" t="s">
        <v>187</v>
      </c>
      <c r="E42" s="6" t="s">
        <v>117</v>
      </c>
    </row>
    <row r="43" spans="1:5" x14ac:dyDescent="0.2">
      <c r="A43" s="7">
        <v>1</v>
      </c>
      <c r="B43" s="7" t="s">
        <v>48</v>
      </c>
      <c r="C43" s="7" t="str">
        <f>CONCATENATE(REPT("     ",Interactions.WiFiMsgng!A43)," ",Interactions.WiFiMsgng!B43)</f>
        <v xml:space="preserve">      human factors</v>
      </c>
      <c r="D43" s="7" t="s">
        <v>187</v>
      </c>
      <c r="E43" s="7" t="s">
        <v>49</v>
      </c>
    </row>
    <row r="44" spans="1:5" ht="45" x14ac:dyDescent="0.2">
      <c r="A44" s="7">
        <v>1</v>
      </c>
      <c r="B44" s="7" t="s">
        <v>50</v>
      </c>
      <c r="C44" s="7" t="str">
        <f>CONCATENATE(REPT("     ",Interactions.WiFiMsgng!A44)," ",Interactions.WiFiMsgng!B44)</f>
        <v xml:space="preserve">      usability</v>
      </c>
      <c r="D44" s="7" t="s">
        <v>187</v>
      </c>
      <c r="E44" s="7" t="s">
        <v>51</v>
      </c>
    </row>
    <row r="45" spans="1:5" x14ac:dyDescent="0.2">
      <c r="A45" s="5">
        <v>0</v>
      </c>
      <c r="B45" s="5" t="s">
        <v>6</v>
      </c>
      <c r="C45" s="5" t="str">
        <f>CONCATENATE(REPT("     ",Interactions.WiFiMsgng!A45)," ",Interactions.WiFiMsgng!B45)</f>
        <v xml:space="preserve"> Trustworthiness</v>
      </c>
      <c r="D45" s="5" t="s">
        <v>187</v>
      </c>
      <c r="E45" s="6" t="s">
        <v>118</v>
      </c>
    </row>
    <row r="46" spans="1:5" ht="75" x14ac:dyDescent="0.2">
      <c r="A46" s="7">
        <v>1</v>
      </c>
      <c r="B46" s="7" t="s">
        <v>52</v>
      </c>
      <c r="C46" s="7" t="str">
        <f>CONCATENATE(REPT("     ",Interactions.WiFiMsgng!A46)," ",Interactions.WiFiMsgng!B46)</f>
        <v xml:space="preserve">      privacy</v>
      </c>
      <c r="D46" s="7" t="s">
        <v>187</v>
      </c>
      <c r="E46" s="7" t="s">
        <v>53</v>
      </c>
    </row>
    <row r="47" spans="1:5" x14ac:dyDescent="0.2">
      <c r="A47" s="7">
        <v>1</v>
      </c>
      <c r="B47" s="7" t="s">
        <v>54</v>
      </c>
      <c r="C47" s="7" t="str">
        <f>CONCATENATE(REPT("     ",Interactions.WiFiMsgng!A47)," ",Interactions.WiFiMsgng!B47)</f>
        <v xml:space="preserve">      reliability</v>
      </c>
      <c r="D47" s="7" t="s">
        <v>187</v>
      </c>
      <c r="E47" s="7" t="s">
        <v>55</v>
      </c>
    </row>
    <row r="48" spans="1:5" ht="30" x14ac:dyDescent="0.2">
      <c r="A48" s="7">
        <v>1</v>
      </c>
      <c r="B48" s="7" t="s">
        <v>56</v>
      </c>
      <c r="C48" s="7" t="str">
        <f>CONCATENATE(REPT("     ",Interactions.WiFiMsgng!A48)," ",Interactions.WiFiMsgng!B48)</f>
        <v xml:space="preserve">      resilience</v>
      </c>
      <c r="D48" s="7" t="s">
        <v>187</v>
      </c>
      <c r="E48" s="7" t="s">
        <v>57</v>
      </c>
    </row>
    <row r="49" spans="1:6" ht="30" x14ac:dyDescent="0.2">
      <c r="A49" s="7">
        <v>1</v>
      </c>
      <c r="B49" s="7" t="s">
        <v>58</v>
      </c>
      <c r="C49" s="7" t="str">
        <f>CONCATENATE(REPT("     ",Interactions.WiFiMsgng!A49)," ",Interactions.WiFiMsgng!B49)</f>
        <v xml:space="preserve">      safety</v>
      </c>
      <c r="D49" s="7" t="s">
        <v>187</v>
      </c>
      <c r="E49" s="7" t="s">
        <v>59</v>
      </c>
    </row>
    <row r="50" spans="1:6" ht="75" x14ac:dyDescent="0.2">
      <c r="A50" s="7">
        <v>1</v>
      </c>
      <c r="B50" s="7" t="s">
        <v>60</v>
      </c>
      <c r="C50" s="7" t="str">
        <f>CONCATENATE(REPT("     ",Interactions.WiFiMsgng!A50)," ",Interactions.WiFiMsgng!B50)</f>
        <v xml:space="preserve">      security</v>
      </c>
      <c r="D50" s="7" t="s">
        <v>187</v>
      </c>
      <c r="E50" s="7" t="s">
        <v>113</v>
      </c>
      <c r="F50" s="3" t="s">
        <v>260</v>
      </c>
    </row>
    <row r="51" spans="1:6" x14ac:dyDescent="0.2">
      <c r="A51" s="7">
        <v>2</v>
      </c>
      <c r="B51" s="7" t="s">
        <v>108</v>
      </c>
      <c r="C51" s="7" t="str">
        <f>CONCATENATE(REPT("     ",Interactions.WiFiMsgng!A51)," ",Interactions.WiFiMsgng!B51)</f>
        <v xml:space="preserve">           cybersecurity</v>
      </c>
      <c r="D51" s="7" t="s">
        <v>187</v>
      </c>
      <c r="E51" s="7" t="s">
        <v>228</v>
      </c>
    </row>
    <row r="52" spans="1:6" x14ac:dyDescent="0.2">
      <c r="A52" s="7">
        <v>3</v>
      </c>
      <c r="B52" s="7" t="s">
        <v>107</v>
      </c>
      <c r="C52" s="7" t="str">
        <f>CONCATENATE(REPT("     ",Interactions.WiFiMsgng!A52)," ",Interactions.WiFiMsgng!B52)</f>
        <v xml:space="preserve">                confidentiality</v>
      </c>
      <c r="D52" s="7" t="s">
        <v>187</v>
      </c>
      <c r="E52" s="7" t="s">
        <v>112</v>
      </c>
    </row>
    <row r="53" spans="1:6" x14ac:dyDescent="0.2">
      <c r="A53" s="7">
        <v>3</v>
      </c>
      <c r="B53" s="7" t="s">
        <v>110</v>
      </c>
      <c r="C53" s="7" t="str">
        <f>CONCATENATE(REPT("     ",Interactions.WiFiMsgng!A53)," ",Interactions.WiFiMsgng!B53)</f>
        <v xml:space="preserve">                integrity</v>
      </c>
      <c r="D53" s="7" t="s">
        <v>187</v>
      </c>
      <c r="E53" s="7" t="s">
        <v>215</v>
      </c>
    </row>
    <row r="54" spans="1:6" x14ac:dyDescent="0.2">
      <c r="A54" s="7">
        <v>3</v>
      </c>
      <c r="B54" s="7" t="s">
        <v>111</v>
      </c>
      <c r="C54" s="7" t="str">
        <f>CONCATENATE(REPT("     ",Interactions.WiFiMsgng!A54)," ",Interactions.WiFiMsgng!B54)</f>
        <v xml:space="preserve">                availability</v>
      </c>
      <c r="D54" s="7" t="s">
        <v>187</v>
      </c>
      <c r="E54" s="7" t="s">
        <v>114</v>
      </c>
    </row>
    <row r="55" spans="1:6" x14ac:dyDescent="0.2">
      <c r="A55" s="7">
        <v>2</v>
      </c>
      <c r="B55" s="7" t="s">
        <v>109</v>
      </c>
      <c r="C55" s="7" t="str">
        <f>CONCATENATE(REPT("     ",Interactions.WiFiMsgng!A55)," ",Interactions.WiFiMsgng!B55)</f>
        <v xml:space="preserve">           physicalsecurity</v>
      </c>
      <c r="D55" s="7" t="s">
        <v>187</v>
      </c>
      <c r="E55" s="7" t="s">
        <v>214</v>
      </c>
    </row>
    <row r="56" spans="1:6" ht="30" x14ac:dyDescent="0.2">
      <c r="A56" s="5">
        <v>0</v>
      </c>
      <c r="B56" s="5" t="s">
        <v>7</v>
      </c>
      <c r="C56" s="5" t="str">
        <f>CONCATENATE(REPT("     ",Interactions.WiFiMsgng!A56)," ",Interactions.WiFiMsgng!B56)</f>
        <v xml:space="preserve"> Timing</v>
      </c>
      <c r="D56" s="5" t="s">
        <v>187</v>
      </c>
      <c r="E56" s="6" t="s">
        <v>119</v>
      </c>
    </row>
    <row r="57" spans="1:6" x14ac:dyDescent="0.2">
      <c r="A57" s="7">
        <v>1</v>
      </c>
      <c r="B57" s="7" t="s">
        <v>61</v>
      </c>
      <c r="C57" s="7" t="str">
        <f>CONCATENATE(REPT("     ",Interactions.WiFiMsgng!A57)," ",Interactions.WiFiMsgng!B57)</f>
        <v xml:space="preserve">      logical time</v>
      </c>
      <c r="D57" s="7" t="s">
        <v>187</v>
      </c>
      <c r="E57" s="7" t="s">
        <v>62</v>
      </c>
    </row>
    <row r="58" spans="1:6" ht="60" x14ac:dyDescent="0.2">
      <c r="A58" s="7">
        <v>1</v>
      </c>
      <c r="B58" s="7" t="s">
        <v>63</v>
      </c>
      <c r="C58" s="7" t="str">
        <f>CONCATENATE(REPT("     ",Interactions.WiFiMsgng!A58)," ",Interactions.WiFiMsgng!B58)</f>
        <v xml:space="preserve">      managing timing and latency</v>
      </c>
      <c r="D58" s="7" t="s">
        <v>187</v>
      </c>
      <c r="E58" s="7" t="s">
        <v>64</v>
      </c>
    </row>
    <row r="59" spans="1:6" ht="30" x14ac:dyDescent="0.2">
      <c r="A59" s="7">
        <v>1</v>
      </c>
      <c r="B59" s="7" t="s">
        <v>65</v>
      </c>
      <c r="C59" s="7" t="str">
        <f>CONCATENATE(REPT("     ",Interactions.WiFiMsgng!A59)," ",Interactions.WiFiMsgng!B59)</f>
        <v xml:space="preserve">      synchronization</v>
      </c>
      <c r="D59" s="7" t="s">
        <v>187</v>
      </c>
      <c r="E59" s="7" t="s">
        <v>66</v>
      </c>
    </row>
    <row r="60" spans="1:6" ht="30" x14ac:dyDescent="0.2">
      <c r="A60" s="7">
        <v>1</v>
      </c>
      <c r="B60" s="7" t="s">
        <v>67</v>
      </c>
      <c r="C60" s="7" t="str">
        <f>CONCATENATE(REPT("     ",Interactions.WiFiMsgng!A60)," ",Interactions.WiFiMsgng!B60)</f>
        <v xml:space="preserve">      time awareness</v>
      </c>
      <c r="D60" s="7" t="s">
        <v>187</v>
      </c>
      <c r="E60" s="7" t="s">
        <v>68</v>
      </c>
    </row>
    <row r="61" spans="1:6" ht="45" x14ac:dyDescent="0.2">
      <c r="A61" s="7">
        <v>1</v>
      </c>
      <c r="B61" s="7" t="s">
        <v>69</v>
      </c>
      <c r="C61" s="7" t="str">
        <f>CONCATENATE(REPT("     ",Interactions.WiFiMsgng!A61)," ",Interactions.WiFiMsgng!B61)</f>
        <v xml:space="preserve">      time-interval and latency control</v>
      </c>
      <c r="D61" s="7" t="s">
        <v>187</v>
      </c>
      <c r="E61" s="7" t="s">
        <v>70</v>
      </c>
    </row>
    <row r="62" spans="1:6" x14ac:dyDescent="0.2">
      <c r="A62" s="5">
        <v>0</v>
      </c>
      <c r="B62" s="5" t="s">
        <v>8</v>
      </c>
      <c r="C62" s="5" t="str">
        <f>CONCATENATE(REPT("     ",Interactions.WiFiMsgng!A62)," ",Interactions.WiFiMsgng!B62)</f>
        <v xml:space="preserve"> Data</v>
      </c>
      <c r="D62" s="5" t="s">
        <v>187</v>
      </c>
      <c r="E62" s="6" t="s">
        <v>120</v>
      </c>
    </row>
    <row r="63" spans="1:6" x14ac:dyDescent="0.2">
      <c r="A63" s="7">
        <v>1</v>
      </c>
      <c r="B63" s="7" t="s">
        <v>71</v>
      </c>
      <c r="C63" s="7" t="str">
        <f>CONCATENATE(REPT("     ",Interactions.WiFiMsgng!A63)," ",Interactions.WiFiMsgng!B63)</f>
        <v xml:space="preserve">      data semantics</v>
      </c>
      <c r="D63" s="7" t="s">
        <v>187</v>
      </c>
      <c r="E63" s="7" t="s">
        <v>72</v>
      </c>
    </row>
    <row r="64" spans="1:6" x14ac:dyDescent="0.2">
      <c r="A64" s="7">
        <v>2</v>
      </c>
      <c r="B64" s="7" t="s">
        <v>134</v>
      </c>
      <c r="C64" s="7" t="str">
        <f>CONCATENATE(REPT("     ",Interactions.WiFiMsgng!A64)," ",Interactions.WiFiMsgng!B64)</f>
        <v xml:space="preserve">           data models</v>
      </c>
      <c r="D64" s="7" t="s">
        <v>187</v>
      </c>
      <c r="E64" s="7" t="s">
        <v>141</v>
      </c>
    </row>
    <row r="65" spans="1:5" x14ac:dyDescent="0.2">
      <c r="A65" s="7">
        <v>2</v>
      </c>
      <c r="B65" s="7" t="s">
        <v>135</v>
      </c>
      <c r="C65" s="7" t="str">
        <f>CONCATENATE(REPT("     ",Interactions.WiFiMsgng!A65)," ",Interactions.WiFiMsgng!B65)</f>
        <v xml:space="preserve">           granularity</v>
      </c>
      <c r="D65" s="7" t="s">
        <v>187</v>
      </c>
      <c r="E65" s="7" t="s">
        <v>148</v>
      </c>
    </row>
    <row r="66" spans="1:5" x14ac:dyDescent="0.2">
      <c r="A66" s="7">
        <v>2</v>
      </c>
      <c r="B66" s="7" t="s">
        <v>136</v>
      </c>
      <c r="C66" s="7" t="str">
        <f>CONCATENATE(REPT("     ",Interactions.WiFiMsgng!A66)," ",Interactions.WiFiMsgng!B66)</f>
        <v xml:space="preserve">           meaning</v>
      </c>
      <c r="D66" s="7" t="s">
        <v>187</v>
      </c>
      <c r="E66" s="7" t="s">
        <v>149</v>
      </c>
    </row>
    <row r="67" spans="1:5" ht="30" x14ac:dyDescent="0.2">
      <c r="A67" s="7">
        <v>1</v>
      </c>
      <c r="B67" s="7" t="s">
        <v>73</v>
      </c>
      <c r="C67" s="7" t="str">
        <f>CONCATENATE(REPT("     ",Interactions.WiFiMsgng!A67)," ",Interactions.WiFiMsgng!B67)</f>
        <v xml:space="preserve">      identity</v>
      </c>
      <c r="D67" s="7" t="s">
        <v>187</v>
      </c>
      <c r="E67" s="7" t="s">
        <v>74</v>
      </c>
    </row>
    <row r="68" spans="1:5" ht="30" x14ac:dyDescent="0.2">
      <c r="A68" s="7">
        <v>2</v>
      </c>
      <c r="B68" s="7" t="s">
        <v>216</v>
      </c>
      <c r="C68" s="7" t="str">
        <f>CONCATENATE(REPT("     ",Interactions.WiFiMsgng!A68)," ",Interactions.WiFiMsgng!B68)</f>
        <v xml:space="preserve">           resourceIdentification</v>
      </c>
      <c r="D68" s="7" t="s">
        <v>198</v>
      </c>
      <c r="E68" s="7" t="s">
        <v>150</v>
      </c>
    </row>
    <row r="69" spans="1:5" x14ac:dyDescent="0.2">
      <c r="A69" s="7">
        <v>3</v>
      </c>
      <c r="B69" s="7" t="s">
        <v>217</v>
      </c>
      <c r="C69" s="7" t="str">
        <f>CONCATENATE(REPT("     ",Interactions.WiFiMsgng!A69)," ",Interactions.WiFiMsgng!B69)</f>
        <v xml:space="preserve">                userIdentification</v>
      </c>
      <c r="D69" s="7" t="s">
        <v>199</v>
      </c>
      <c r="E69" s="7" t="s">
        <v>229</v>
      </c>
    </row>
    <row r="70" spans="1:5" ht="30" x14ac:dyDescent="0.2">
      <c r="A70" s="7">
        <v>3</v>
      </c>
      <c r="B70" s="7" t="s">
        <v>218</v>
      </c>
      <c r="C70" s="7" t="str">
        <f>CONCATENATE(REPT("     ",Interactions.WiFiMsgng!A70)," ",Interactions.WiFiMsgng!B70)</f>
        <v xml:space="preserve">                deviceIdentification</v>
      </c>
      <c r="D70" s="7" t="s">
        <v>200</v>
      </c>
      <c r="E70" s="7" t="s">
        <v>230</v>
      </c>
    </row>
    <row r="71" spans="1:5" ht="30" x14ac:dyDescent="0.2">
      <c r="A71" s="7">
        <v>3</v>
      </c>
      <c r="B71" s="7" t="s">
        <v>219</v>
      </c>
      <c r="C71" s="7" t="str">
        <f>CONCATENATE(REPT("     ",Interactions.WiFiMsgng!A71)," ",Interactions.WiFiMsgng!B71)</f>
        <v xml:space="preserve">                objectIdentification</v>
      </c>
      <c r="D71" s="7" t="s">
        <v>201</v>
      </c>
      <c r="E71" s="7" t="s">
        <v>231</v>
      </c>
    </row>
    <row r="72" spans="1:5" x14ac:dyDescent="0.2">
      <c r="A72" s="7">
        <v>3</v>
      </c>
      <c r="B72" s="7" t="s">
        <v>220</v>
      </c>
      <c r="C72" s="7" t="str">
        <f>CONCATENATE(REPT("     ",Interactions.WiFiMsgng!A72)," ",Interactions.WiFiMsgng!B72)</f>
        <v xml:space="preserve">                classIdentification</v>
      </c>
      <c r="D72" s="7"/>
      <c r="E72" s="7" t="s">
        <v>232</v>
      </c>
    </row>
    <row r="73" spans="1:5" x14ac:dyDescent="0.2">
      <c r="A73" s="7">
        <v>2</v>
      </c>
      <c r="B73" s="7" t="s">
        <v>137</v>
      </c>
      <c r="C73" s="7" t="str">
        <f>CONCATENATE(REPT("     ",Interactions.WiFiMsgng!A73)," ",Interactions.WiFiMsgng!B73)</f>
        <v xml:space="preserve">           authentication</v>
      </c>
      <c r="D73" s="7" t="s">
        <v>187</v>
      </c>
      <c r="E73" s="7" t="s">
        <v>151</v>
      </c>
    </row>
    <row r="74" spans="1:5" x14ac:dyDescent="0.2">
      <c r="A74" s="7">
        <v>2</v>
      </c>
      <c r="B74" s="7" t="s">
        <v>138</v>
      </c>
      <c r="C74" s="7" t="str">
        <f>CONCATENATE(REPT("     ",Interactions.WiFiMsgng!A74)," ",Interactions.WiFiMsgng!B74)</f>
        <v xml:space="preserve">           authorization</v>
      </c>
      <c r="D74" s="7" t="s">
        <v>187</v>
      </c>
      <c r="E74" s="7" t="s">
        <v>152</v>
      </c>
    </row>
    <row r="75" spans="1:5" x14ac:dyDescent="0.2">
      <c r="A75" s="7">
        <v>2</v>
      </c>
      <c r="B75" s="7" t="s">
        <v>139</v>
      </c>
      <c r="C75" s="7" t="str">
        <f>CONCATENATE(REPT("     ",Interactions.WiFiMsgng!A75)," ",Interactions.WiFiMsgng!B75)</f>
        <v xml:space="preserve">           verification</v>
      </c>
      <c r="D75" s="7" t="s">
        <v>187</v>
      </c>
      <c r="E75" s="7" t="s">
        <v>153</v>
      </c>
    </row>
    <row r="76" spans="1:5" x14ac:dyDescent="0.2">
      <c r="A76" s="7">
        <v>2</v>
      </c>
      <c r="B76" s="7" t="s">
        <v>110</v>
      </c>
      <c r="C76" s="7" t="str">
        <f>CONCATENATE(REPT("     ",Interactions.WiFiMsgng!A76)," ",Interactions.WiFiMsgng!B76)</f>
        <v xml:space="preserve">           integrity</v>
      </c>
      <c r="D76" s="7" t="s">
        <v>187</v>
      </c>
      <c r="E76" s="7" t="s">
        <v>154</v>
      </c>
    </row>
    <row r="77" spans="1:5" x14ac:dyDescent="0.2">
      <c r="A77" s="7">
        <v>2</v>
      </c>
      <c r="B77" s="7" t="s">
        <v>221</v>
      </c>
      <c r="C77" s="7" t="str">
        <f>CONCATENATE(REPT("     ",Interactions.WiFiMsgng!A77)," ",Interactions.WiFiMsgng!B77)</f>
        <v xml:space="preserve">           configuration</v>
      </c>
      <c r="D77" s="7" t="s">
        <v>187</v>
      </c>
      <c r="E77" s="7" t="s">
        <v>155</v>
      </c>
    </row>
    <row r="78" spans="1:5" x14ac:dyDescent="0.2">
      <c r="A78" s="7">
        <v>2</v>
      </c>
      <c r="B78" s="7" t="s">
        <v>140</v>
      </c>
      <c r="C78" s="7" t="str">
        <f>CONCATENATE(REPT("     ",Interactions.WiFiMsgng!A78)," ",Interactions.WiFiMsgng!B78)</f>
        <v xml:space="preserve">           provenance</v>
      </c>
      <c r="D78" s="7" t="s">
        <v>187</v>
      </c>
      <c r="E78" s="7" t="s">
        <v>156</v>
      </c>
    </row>
    <row r="79" spans="1:5" ht="30" x14ac:dyDescent="0.2">
      <c r="A79" s="7">
        <v>1</v>
      </c>
      <c r="B79" s="7" t="s">
        <v>75</v>
      </c>
      <c r="C79" s="7" t="str">
        <f>CONCATENATE(REPT("     ",Interactions.WiFiMsgng!A79)," ",Interactions.WiFiMsgng!B79)</f>
        <v xml:space="preserve">      operations on data</v>
      </c>
      <c r="D79" s="7" t="s">
        <v>187</v>
      </c>
      <c r="E79" s="7" t="s">
        <v>76</v>
      </c>
    </row>
    <row r="80" spans="1:5" x14ac:dyDescent="0.2">
      <c r="A80" s="7">
        <v>2</v>
      </c>
      <c r="B80" s="7" t="s">
        <v>130</v>
      </c>
      <c r="C80" s="7" t="str">
        <f>CONCATENATE(REPT("     ",Interactions.WiFiMsgng!A80)," ",Interactions.WiFiMsgng!B80)</f>
        <v xml:space="preserve">           analytics</v>
      </c>
      <c r="D80" s="7" t="s">
        <v>187</v>
      </c>
      <c r="E80" s="7" t="s">
        <v>130</v>
      </c>
    </row>
    <row r="81" spans="1:5" x14ac:dyDescent="0.2">
      <c r="A81" s="7">
        <v>2</v>
      </c>
      <c r="B81" s="7" t="s">
        <v>125</v>
      </c>
      <c r="C81" s="7" t="str">
        <f>CONCATENATE(REPT("     ",Interactions.WiFiMsgng!A81)," ",Interactions.WiFiMsgng!B81)</f>
        <v xml:space="preserve">           fusion</v>
      </c>
      <c r="D81" s="7" t="s">
        <v>187</v>
      </c>
      <c r="E81" s="7" t="s">
        <v>127</v>
      </c>
    </row>
    <row r="82" spans="1:5" x14ac:dyDescent="0.2">
      <c r="A82" s="7">
        <v>2</v>
      </c>
      <c r="B82" s="7" t="s">
        <v>131</v>
      </c>
      <c r="C82" s="7" t="str">
        <f>CONCATENATE(REPT("     ",Interactions.WiFiMsgng!A82)," ",Interactions.WiFiMsgng!B82)</f>
        <v xml:space="preserve">           storage</v>
      </c>
      <c r="D82" s="7" t="s">
        <v>187</v>
      </c>
      <c r="E82" s="7" t="s">
        <v>128</v>
      </c>
    </row>
    <row r="83" spans="1:5" ht="30" x14ac:dyDescent="0.2">
      <c r="A83" s="7">
        <v>2</v>
      </c>
      <c r="B83" s="7" t="s">
        <v>132</v>
      </c>
      <c r="C83" s="7" t="str">
        <f>CONCATENATE(REPT("     ",Interactions.WiFiMsgng!A83)," ",Interactions.WiFiMsgng!B83)</f>
        <v xml:space="preserve">           aggregation/disaggregation</v>
      </c>
      <c r="D83" s="7" t="s">
        <v>187</v>
      </c>
      <c r="E83" s="7" t="s">
        <v>158</v>
      </c>
    </row>
    <row r="84" spans="1:5" x14ac:dyDescent="0.2">
      <c r="A84" s="7">
        <v>2</v>
      </c>
      <c r="B84" s="7" t="s">
        <v>133</v>
      </c>
      <c r="C84" s="7" t="str">
        <f>CONCATENATE(REPT("     ",Interactions.WiFiMsgng!A84)," ",Interactions.WiFiMsgng!B84)</f>
        <v xml:space="preserve">           transformation</v>
      </c>
      <c r="D84" s="7" t="s">
        <v>187</v>
      </c>
      <c r="E84" s="7" t="s">
        <v>157</v>
      </c>
    </row>
    <row r="85" spans="1:5" ht="30" x14ac:dyDescent="0.2">
      <c r="A85" s="7">
        <v>1</v>
      </c>
      <c r="B85" s="7" t="s">
        <v>77</v>
      </c>
      <c r="C85" s="7" t="str">
        <f>CONCATENATE(REPT("     ",Interactions.WiFiMsgng!A85)," ",Interactions.WiFiMsgng!B85)</f>
        <v xml:space="preserve">      relationship between data</v>
      </c>
      <c r="D85" s="7" t="s">
        <v>187</v>
      </c>
      <c r="E85" s="7" t="s">
        <v>78</v>
      </c>
    </row>
    <row r="86" spans="1:5" x14ac:dyDescent="0.2">
      <c r="A86" s="7">
        <v>2</v>
      </c>
      <c r="B86" s="7" t="s">
        <v>142</v>
      </c>
      <c r="C86" s="7" t="str">
        <f>CONCATENATE(REPT("     ",Interactions.WiFiMsgng!A86)," ",Interactions.WiFiMsgng!B86)</f>
        <v xml:space="preserve">           time of data</v>
      </c>
      <c r="D86" s="7" t="s">
        <v>187</v>
      </c>
      <c r="E86" s="7" t="s">
        <v>159</v>
      </c>
    </row>
    <row r="87" spans="1:5" ht="45" x14ac:dyDescent="0.2">
      <c r="A87" s="7">
        <v>2</v>
      </c>
      <c r="B87" s="7" t="s">
        <v>143</v>
      </c>
      <c r="C87" s="7" t="str">
        <f>CONCATENATE(REPT("     ",Interactions.WiFiMsgng!A87)," ",Interactions.WiFiMsgng!B87)</f>
        <v xml:space="preserve">           related data (including metadata)</v>
      </c>
      <c r="D87" s="7" t="s">
        <v>187</v>
      </c>
      <c r="E87" s="7" t="s">
        <v>160</v>
      </c>
    </row>
    <row r="88" spans="1:5" x14ac:dyDescent="0.2">
      <c r="A88" s="7">
        <v>2</v>
      </c>
      <c r="B88" s="7" t="s">
        <v>144</v>
      </c>
      <c r="C88" s="7" t="str">
        <f>CONCATENATE(REPT("     ",Interactions.WiFiMsgng!A88)," ",Interactions.WiFiMsgng!B88)</f>
        <v xml:space="preserve">           location of data</v>
      </c>
      <c r="D88" s="7" t="s">
        <v>187</v>
      </c>
      <c r="E88" s="7" t="s">
        <v>144</v>
      </c>
    </row>
    <row r="89" spans="1:5" x14ac:dyDescent="0.2">
      <c r="A89" s="7">
        <v>2</v>
      </c>
      <c r="B89" s="7" t="s">
        <v>145</v>
      </c>
      <c r="C89" s="7" t="str">
        <f>CONCATENATE(REPT("     ",Interactions.WiFiMsgng!A89)," ",Interactions.WiFiMsgng!B89)</f>
        <v xml:space="preserve">           inheritance</v>
      </c>
      <c r="D89" s="7" t="s">
        <v>187</v>
      </c>
      <c r="E89" s="7" t="s">
        <v>161</v>
      </c>
    </row>
    <row r="90" spans="1:5" x14ac:dyDescent="0.2">
      <c r="A90" s="7">
        <v>2</v>
      </c>
      <c r="B90" s="7" t="s">
        <v>146</v>
      </c>
      <c r="C90" s="7" t="str">
        <f>CONCATENATE(REPT("     ",Interactions.WiFiMsgng!A90)," ",Interactions.WiFiMsgng!B90)</f>
        <v xml:space="preserve">           polymorphism</v>
      </c>
      <c r="D90" s="7" t="s">
        <v>187</v>
      </c>
      <c r="E90" s="7" t="s">
        <v>162</v>
      </c>
    </row>
    <row r="91" spans="1:5" ht="30" x14ac:dyDescent="0.2">
      <c r="A91" s="7">
        <v>2</v>
      </c>
      <c r="B91" s="7" t="s">
        <v>163</v>
      </c>
      <c r="C91" s="7" t="str">
        <f>CONCATENATE(REPT("     ",Interactions.WiFiMsgng!A91)," ",Interactions.WiFiMsgng!B91)</f>
        <v xml:space="preserve">           directionality of relationships</v>
      </c>
      <c r="D91" s="7" t="s">
        <v>187</v>
      </c>
      <c r="E91" s="7" t="s">
        <v>147</v>
      </c>
    </row>
    <row r="92" spans="1:5" x14ac:dyDescent="0.2">
      <c r="A92" s="7">
        <v>2</v>
      </c>
      <c r="B92" s="7" t="s">
        <v>40</v>
      </c>
      <c r="C92" s="7" t="str">
        <f>CONCATENATE(REPT("     ",Interactions.WiFiMsgng!A92)," ",Interactions.WiFiMsgng!B92)</f>
        <v xml:space="preserve">           quality</v>
      </c>
      <c r="D92" s="7" t="s">
        <v>187</v>
      </c>
      <c r="E92" s="7" t="s">
        <v>164</v>
      </c>
    </row>
    <row r="93" spans="1:5" x14ac:dyDescent="0.2">
      <c r="A93" s="7">
        <v>1</v>
      </c>
      <c r="B93" s="7" t="s">
        <v>126</v>
      </c>
      <c r="C93" s="7" t="str">
        <f>CONCATENATE(REPT("     ",Interactions.WiFiMsgng!A93)," ",Interactions.WiFiMsgng!B93)</f>
        <v xml:space="preserve">      velocity</v>
      </c>
      <c r="D93" s="7" t="s">
        <v>187</v>
      </c>
      <c r="E93" s="7" t="s">
        <v>129</v>
      </c>
    </row>
    <row r="94" spans="1:5" ht="13" customHeight="1" x14ac:dyDescent="0.2">
      <c r="A94" s="5">
        <v>0</v>
      </c>
      <c r="B94" s="5" t="s">
        <v>9</v>
      </c>
      <c r="C94" s="5" t="str">
        <f>CONCATENATE(REPT("     ",Interactions.WiFiMsgng!A94)," ",Interactions.WiFiMsgng!B94)</f>
        <v xml:space="preserve"> Boundaries</v>
      </c>
      <c r="D94" s="5" t="s">
        <v>187</v>
      </c>
      <c r="E94" s="6" t="s">
        <v>121</v>
      </c>
    </row>
    <row r="95" spans="1:5" ht="30" x14ac:dyDescent="0.2">
      <c r="A95" s="7">
        <v>1</v>
      </c>
      <c r="B95" s="7" t="s">
        <v>79</v>
      </c>
      <c r="C95" s="7" t="str">
        <f>CONCATENATE(REPT("     ",Interactions.WiFiMsgng!A95)," ",Interactions.WiFiMsgng!B95)</f>
        <v xml:space="preserve">      behavioral</v>
      </c>
      <c r="D95" s="7" t="s">
        <v>187</v>
      </c>
      <c r="E95" s="7" t="s">
        <v>80</v>
      </c>
    </row>
    <row r="96" spans="1:5" x14ac:dyDescent="0.2">
      <c r="A96" s="7">
        <v>1</v>
      </c>
      <c r="B96" s="7" t="s">
        <v>81</v>
      </c>
      <c r="C96" s="7" t="str">
        <f>CONCATENATE(REPT("     ",Interactions.WiFiMsgng!A96)," ",Interactions.WiFiMsgng!B96)</f>
        <v xml:space="preserve">      networkability</v>
      </c>
      <c r="D96" s="7" t="s">
        <v>187</v>
      </c>
      <c r="E96" s="7" t="s">
        <v>82</v>
      </c>
    </row>
    <row r="97" spans="1:5" x14ac:dyDescent="0.2">
      <c r="A97" s="7">
        <v>1</v>
      </c>
      <c r="B97" s="7" t="s">
        <v>83</v>
      </c>
      <c r="C97" s="7" t="str">
        <f>CONCATENATE(REPT("     ",Interactions.WiFiMsgng!A97)," ",Interactions.WiFiMsgng!B97)</f>
        <v xml:space="preserve">      responsibility</v>
      </c>
      <c r="D97" s="7" t="s">
        <v>187</v>
      </c>
      <c r="E97" s="7" t="s">
        <v>84</v>
      </c>
    </row>
    <row r="98" spans="1:5" ht="45" x14ac:dyDescent="0.2">
      <c r="A98" s="5">
        <v>0</v>
      </c>
      <c r="B98" s="5" t="s">
        <v>10</v>
      </c>
      <c r="C98" s="5" t="str">
        <f>CONCATENATE(REPT("     ",Interactions.WiFiMsgng!A98)," ",Interactions.WiFiMsgng!B98)</f>
        <v xml:space="preserve"> Composition</v>
      </c>
      <c r="D98" s="5" t="s">
        <v>187</v>
      </c>
      <c r="E98" s="6" t="s">
        <v>122</v>
      </c>
    </row>
    <row r="99" spans="1:5" ht="30" x14ac:dyDescent="0.2">
      <c r="A99" s="7">
        <v>1</v>
      </c>
      <c r="B99" s="7" t="s">
        <v>85</v>
      </c>
      <c r="C99" s="7" t="str">
        <f>CONCATENATE(REPT("     ",Interactions.WiFiMsgng!A99)," ",Interactions.WiFiMsgng!B99)</f>
        <v xml:space="preserve">      adaptability</v>
      </c>
      <c r="D99" s="7" t="s">
        <v>187</v>
      </c>
      <c r="E99" s="7" t="s">
        <v>86</v>
      </c>
    </row>
    <row r="100" spans="1:5" ht="30" x14ac:dyDescent="0.2">
      <c r="A100" s="7">
        <v>1</v>
      </c>
      <c r="B100" s="7" t="s">
        <v>87</v>
      </c>
      <c r="C100" s="7" t="str">
        <f>CONCATENATE(REPT("     ",Interactions.WiFiMsgng!A100)," ",Interactions.WiFiMsgng!B100)</f>
        <v xml:space="preserve">      complexity</v>
      </c>
      <c r="D100" s="7" t="s">
        <v>187</v>
      </c>
      <c r="E100" s="7" t="s">
        <v>88</v>
      </c>
    </row>
    <row r="101" spans="1:5" x14ac:dyDescent="0.2">
      <c r="A101" s="7">
        <v>1</v>
      </c>
      <c r="B101" s="7" t="s">
        <v>89</v>
      </c>
      <c r="C101" s="7" t="str">
        <f>CONCATENATE(REPT("     ",Interactions.WiFiMsgng!A101)," ",Interactions.WiFiMsgng!B101)</f>
        <v xml:space="preserve">      constructivity</v>
      </c>
      <c r="D101" s="7" t="s">
        <v>187</v>
      </c>
      <c r="E101" s="7" t="s">
        <v>90</v>
      </c>
    </row>
    <row r="102" spans="1:5" ht="45" x14ac:dyDescent="0.2">
      <c r="A102" s="7">
        <v>1</v>
      </c>
      <c r="B102" s="7" t="s">
        <v>91</v>
      </c>
      <c r="C102" s="7" t="str">
        <f>CONCATENATE(REPT("     ",Interactions.WiFiMsgng!A102)," ",Interactions.WiFiMsgng!B102)</f>
        <v xml:space="preserve">      discoverability</v>
      </c>
      <c r="D102" s="7" t="s">
        <v>187</v>
      </c>
      <c r="E102" s="7" t="s">
        <v>92</v>
      </c>
    </row>
    <row r="103" spans="1:5" x14ac:dyDescent="0.2">
      <c r="A103" s="5">
        <v>0</v>
      </c>
      <c r="B103" s="5" t="s">
        <v>11</v>
      </c>
      <c r="C103" s="5" t="str">
        <f>CONCATENATE(REPT("     ",Interactions.WiFiMsgng!A103)," ",Interactions.WiFiMsgng!B103)</f>
        <v xml:space="preserve"> Lifecycle</v>
      </c>
      <c r="D103" s="5" t="s">
        <v>187</v>
      </c>
      <c r="E103" s="6" t="s">
        <v>123</v>
      </c>
    </row>
    <row r="104" spans="1:5" x14ac:dyDescent="0.2">
      <c r="A104" s="7">
        <v>1</v>
      </c>
      <c r="B104" s="7" t="s">
        <v>93</v>
      </c>
      <c r="C104" s="7" t="str">
        <f>CONCATENATE(REPT("     ",Interactions.WiFiMsgng!A104)," ",Interactions.WiFiMsgng!B104)</f>
        <v xml:space="preserve">      deployability</v>
      </c>
      <c r="D104" s="7" t="s">
        <v>187</v>
      </c>
      <c r="E104" s="7" t="s">
        <v>94</v>
      </c>
    </row>
    <row r="105" spans="1:5" x14ac:dyDescent="0.2">
      <c r="A105" s="7">
        <v>1</v>
      </c>
      <c r="B105" s="7" t="s">
        <v>95</v>
      </c>
      <c r="C105" s="7" t="str">
        <f>CONCATENATE(REPT("     ",Interactions.WiFiMsgng!A105)," ",Interactions.WiFiMsgng!B105)</f>
        <v xml:space="preserve">      disposability</v>
      </c>
      <c r="D105" s="7" t="s">
        <v>187</v>
      </c>
      <c r="E105" s="7" t="s">
        <v>96</v>
      </c>
    </row>
    <row r="106" spans="1:5" ht="30" x14ac:dyDescent="0.2">
      <c r="A106" s="7">
        <v>1</v>
      </c>
      <c r="B106" s="7" t="s">
        <v>97</v>
      </c>
      <c r="C106" s="7" t="str">
        <f>CONCATENATE(REPT("     ",Interactions.WiFiMsgng!A106)," ",Interactions.WiFiMsgng!B106)</f>
        <v xml:space="preserve">      engineerability</v>
      </c>
      <c r="D106" s="7" t="s">
        <v>187</v>
      </c>
      <c r="E106" s="7" t="s">
        <v>98</v>
      </c>
    </row>
    <row r="107" spans="1:5" x14ac:dyDescent="0.2">
      <c r="A107" s="7">
        <v>1</v>
      </c>
      <c r="B107" s="7" t="s">
        <v>99</v>
      </c>
      <c r="C107" s="7" t="str">
        <f>CONCATENATE(REPT("     ",Interactions.WiFiMsgng!A107)," ",Interactions.WiFiMsgng!B107)</f>
        <v xml:space="preserve">      maintainability</v>
      </c>
      <c r="D107" s="7" t="s">
        <v>187</v>
      </c>
      <c r="E107" s="7" t="s">
        <v>100</v>
      </c>
    </row>
    <row r="108" spans="1:5" x14ac:dyDescent="0.2">
      <c r="A108" s="7">
        <v>1</v>
      </c>
      <c r="B108" s="7" t="s">
        <v>101</v>
      </c>
      <c r="C108" s="7" t="str">
        <f>CONCATENATE(REPT("     ",Interactions.WiFiMsgng!A108)," ",Interactions.WiFiMsgng!B108)</f>
        <v xml:space="preserve">      operatability</v>
      </c>
      <c r="D108" s="7" t="s">
        <v>187</v>
      </c>
      <c r="E108" s="7" t="s">
        <v>102</v>
      </c>
    </row>
    <row r="109" spans="1:5" x14ac:dyDescent="0.2">
      <c r="A109" s="7">
        <v>1</v>
      </c>
      <c r="B109" s="7" t="s">
        <v>103</v>
      </c>
      <c r="C109" s="7" t="str">
        <f>CONCATENATE(REPT("     ",Interactions.WiFiMsgng!A109)," ",Interactions.WiFiMsgng!B109)</f>
        <v xml:space="preserve">      procureability</v>
      </c>
      <c r="D109" s="7" t="s">
        <v>187</v>
      </c>
      <c r="E109" s="7" t="s">
        <v>104</v>
      </c>
    </row>
    <row r="110" spans="1:5" x14ac:dyDescent="0.2">
      <c r="A110" s="7">
        <v>1</v>
      </c>
      <c r="B110" s="7" t="s">
        <v>105</v>
      </c>
      <c r="C110" s="7" t="str">
        <f>CONCATENATE(REPT("     ",Interactions.WiFiMsgng!A110)," ",Interactions.WiFiMsgng!B110)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J110"/>
  <sheetViews>
    <sheetView zoomScale="85" zoomScaleNormal="85" zoomScalePageLayoutView="85" workbookViewId="0">
      <pane ySplit="4" topLeftCell="A74" activePane="bottomLeft" state="frozen"/>
      <selection pane="bottomLeft" activeCell="G29" sqref="G29"/>
    </sheetView>
  </sheetViews>
  <sheetFormatPr baseColWidth="10" defaultColWidth="8.83203125" defaultRowHeight="15" x14ac:dyDescent="0.2"/>
  <cols>
    <col min="1" max="1" width="15.33203125" style="3" customWidth="1"/>
    <col min="2" max="2" width="15.33203125" style="3" hidden="1" customWidth="1"/>
    <col min="3" max="3" width="40.5" style="3" customWidth="1"/>
    <col min="4" max="4" width="40.5" style="3" hidden="1" customWidth="1"/>
    <col min="5" max="5" width="105.83203125" style="3" customWidth="1"/>
    <col min="6" max="7" width="50.33203125" style="3" customWidth="1"/>
    <col min="8" max="8" width="12.6640625" style="3" customWidth="1"/>
    <col min="9" max="9" width="35.5" style="3" customWidth="1"/>
    <col min="10" max="10" width="82.1640625" style="3" customWidth="1"/>
    <col min="11" max="16384" width="8.83203125" style="3"/>
  </cols>
  <sheetData>
    <row r="1" spans="1:10" ht="34" x14ac:dyDescent="0.2">
      <c r="A1" s="8">
        <f ca="1">NOW()</f>
        <v>42636.659261111112</v>
      </c>
      <c r="E1" s="4" t="s">
        <v>124</v>
      </c>
    </row>
    <row r="3" spans="1:10" x14ac:dyDescent="0.2">
      <c r="F3" s="9" t="s">
        <v>238</v>
      </c>
      <c r="G3" s="9"/>
      <c r="H3" s="9"/>
      <c r="I3" s="9"/>
      <c r="J3" s="9"/>
    </row>
    <row r="4" spans="1:10" s="2" customFormat="1" ht="24" x14ac:dyDescent="0.2">
      <c r="A4" s="1" t="s">
        <v>0</v>
      </c>
      <c r="B4" s="1" t="s">
        <v>165</v>
      </c>
      <c r="C4" s="1" t="s">
        <v>225</v>
      </c>
      <c r="D4" s="1" t="s">
        <v>186</v>
      </c>
      <c r="E4" s="1" t="s">
        <v>1</v>
      </c>
      <c r="F4" s="2" t="s">
        <v>235</v>
      </c>
      <c r="G4" s="2" t="s">
        <v>236</v>
      </c>
      <c r="H4" s="2" t="s">
        <v>237</v>
      </c>
      <c r="I4" s="2" t="s">
        <v>233</v>
      </c>
      <c r="J4" s="2" t="s">
        <v>234</v>
      </c>
    </row>
    <row r="5" spans="1:10" x14ac:dyDescent="0.2">
      <c r="A5" s="5">
        <v>0</v>
      </c>
      <c r="B5" s="5" t="s">
        <v>3</v>
      </c>
      <c r="C5" s="5" t="str">
        <f>CONCATENATE(REPT("     ",BusinessObjects.Thermostat!A5)," ",BusinessObjects.Thermostat!B5)</f>
        <v xml:space="preserve"> Functional</v>
      </c>
      <c r="D5" s="5" t="s">
        <v>187</v>
      </c>
      <c r="E5" s="6" t="s">
        <v>115</v>
      </c>
    </row>
    <row r="6" spans="1:10" x14ac:dyDescent="0.2">
      <c r="A6" s="7">
        <v>1</v>
      </c>
      <c r="B6" s="7" t="s">
        <v>12</v>
      </c>
      <c r="C6" s="7" t="str">
        <f>CONCATENATE(REPT("     ",BusinessObjects.Thermostat!A6)," ",BusinessObjects.Thermostat!B6)</f>
        <v xml:space="preserve">      actuation</v>
      </c>
      <c r="D6" s="7" t="s">
        <v>187</v>
      </c>
      <c r="E6" s="7" t="s">
        <v>13</v>
      </c>
    </row>
    <row r="7" spans="1:10" x14ac:dyDescent="0.2">
      <c r="A7" s="7">
        <v>1</v>
      </c>
      <c r="B7" s="7" t="s">
        <v>14</v>
      </c>
      <c r="C7" s="7" t="str">
        <f>CONCATENATE(REPT("     ",BusinessObjects.Thermostat!A7)," ",BusinessObjects.Thermostat!B7)</f>
        <v xml:space="preserve">      communication</v>
      </c>
      <c r="D7" s="7" t="s">
        <v>187</v>
      </c>
      <c r="E7" s="7" t="s">
        <v>15</v>
      </c>
    </row>
    <row r="8" spans="1:10" ht="30" x14ac:dyDescent="0.2">
      <c r="A8" s="7">
        <v>2</v>
      </c>
      <c r="B8" s="7" t="s">
        <v>166</v>
      </c>
      <c r="C8" s="7" t="str">
        <f>CONCATENATE(REPT("     ",BusinessObjects.Thermostat!A8)," ",BusinessObjects.Thermostat!B8)</f>
        <v xml:space="preserve">           Syntactic Interoperability</v>
      </c>
      <c r="D8" s="7" t="s">
        <v>167</v>
      </c>
      <c r="E8" s="7" t="s">
        <v>202</v>
      </c>
    </row>
    <row r="9" spans="1:10" x14ac:dyDescent="0.2">
      <c r="A9" s="7">
        <v>3</v>
      </c>
      <c r="B9" s="7" t="s">
        <v>168</v>
      </c>
      <c r="C9" s="7" t="str">
        <f>CONCATENATE(REPT("     ",BusinessObjects.Thermostat!A9)," ",BusinessObjects.Thermostat!B9)</f>
        <v xml:space="preserve">                OSI-Application</v>
      </c>
      <c r="D9" s="7" t="s">
        <v>169</v>
      </c>
      <c r="E9" s="7" t="s">
        <v>203</v>
      </c>
    </row>
    <row r="10" spans="1:10" x14ac:dyDescent="0.2">
      <c r="A10" s="7">
        <v>3</v>
      </c>
      <c r="B10" s="7" t="s">
        <v>170</v>
      </c>
      <c r="C10" s="7" t="str">
        <f>CONCATENATE(REPT("     ",BusinessObjects.Thermostat!A10)," ",BusinessObjects.Thermostat!B10)</f>
        <v xml:space="preserve">                OSI-Presentation</v>
      </c>
      <c r="D10" s="7" t="s">
        <v>171</v>
      </c>
      <c r="E10" s="7" t="s">
        <v>204</v>
      </c>
    </row>
    <row r="11" spans="1:10" ht="30" x14ac:dyDescent="0.2">
      <c r="A11" s="7">
        <v>2</v>
      </c>
      <c r="B11" s="7" t="s">
        <v>172</v>
      </c>
      <c r="C11" s="7" t="str">
        <f>CONCATENATE(REPT("     ",BusinessObjects.Thermostat!A11)," ",BusinessObjects.Thermostat!B11)</f>
        <v xml:space="preserve">           Network Interoperability</v>
      </c>
      <c r="D11" s="7" t="s">
        <v>173</v>
      </c>
      <c r="E11" s="7" t="s">
        <v>205</v>
      </c>
    </row>
    <row r="12" spans="1:10" x14ac:dyDescent="0.2">
      <c r="A12" s="7">
        <v>3</v>
      </c>
      <c r="B12" s="7" t="s">
        <v>174</v>
      </c>
      <c r="C12" s="7" t="str">
        <f>CONCATENATE(REPT("     ",BusinessObjects.Thermostat!A12)," ",BusinessObjects.Thermostat!B12)</f>
        <v xml:space="preserve">                OSI-Session</v>
      </c>
      <c r="D12" s="7" t="s">
        <v>175</v>
      </c>
      <c r="E12" s="7" t="s">
        <v>226</v>
      </c>
    </row>
    <row r="13" spans="1:10" x14ac:dyDescent="0.2">
      <c r="A13" s="7">
        <v>3</v>
      </c>
      <c r="B13" s="7" t="s">
        <v>176</v>
      </c>
      <c r="C13" s="7" t="str">
        <f>CONCATENATE(REPT("     ",BusinessObjects.Thermostat!A13)," ",BusinessObjects.Thermostat!B13)</f>
        <v xml:space="preserve">                OSI-Transport</v>
      </c>
      <c r="D13" s="7" t="s">
        <v>177</v>
      </c>
      <c r="E13" s="7" t="s">
        <v>206</v>
      </c>
    </row>
    <row r="14" spans="1:10" x14ac:dyDescent="0.2">
      <c r="A14" s="7">
        <v>3</v>
      </c>
      <c r="B14" s="7" t="s">
        <v>178</v>
      </c>
      <c r="C14" s="7" t="str">
        <f>CONCATENATE(REPT("     ",BusinessObjects.Thermostat!A14)," ",BusinessObjects.Thermostat!B14)</f>
        <v xml:space="preserve">                OSI-Network</v>
      </c>
      <c r="D14" s="7" t="s">
        <v>179</v>
      </c>
      <c r="E14" s="7" t="s">
        <v>207</v>
      </c>
    </row>
    <row r="15" spans="1:10" x14ac:dyDescent="0.2">
      <c r="A15" s="7">
        <v>2</v>
      </c>
      <c r="B15" s="7" t="s">
        <v>180</v>
      </c>
      <c r="C15" s="7" t="str">
        <f>CONCATENATE(REPT("     ",BusinessObjects.Thermostat!A15)," ",BusinessObjects.Thermostat!B15)</f>
        <v xml:space="preserve">           Basic Connectivity</v>
      </c>
      <c r="D15" s="7" t="s">
        <v>181</v>
      </c>
      <c r="E15" s="7" t="s">
        <v>208</v>
      </c>
    </row>
    <row r="16" spans="1:10" x14ac:dyDescent="0.2">
      <c r="A16" s="7">
        <v>3</v>
      </c>
      <c r="B16" s="7" t="s">
        <v>182</v>
      </c>
      <c r="C16" s="7" t="str">
        <f>CONCATENATE(REPT("     ",BusinessObjects.Thermostat!A16)," ",BusinessObjects.Thermostat!B16)</f>
        <v xml:space="preserve">                OSI-Data Link</v>
      </c>
      <c r="D16" s="7" t="s">
        <v>183</v>
      </c>
      <c r="E16" s="7" t="s">
        <v>209</v>
      </c>
    </row>
    <row r="17" spans="1:5" x14ac:dyDescent="0.2">
      <c r="A17" s="7">
        <v>3</v>
      </c>
      <c r="B17" s="7" t="s">
        <v>184</v>
      </c>
      <c r="C17" s="7" t="str">
        <f>CONCATENATE(REPT("     ",BusinessObjects.Thermostat!A17)," ",BusinessObjects.Thermostat!B17)</f>
        <v xml:space="preserve">                OSI-Physical</v>
      </c>
      <c r="D17" s="7" t="s">
        <v>185</v>
      </c>
      <c r="E17" s="7" t="s">
        <v>210</v>
      </c>
    </row>
    <row r="18" spans="1:5" ht="45" x14ac:dyDescent="0.2">
      <c r="A18" s="7">
        <v>1</v>
      </c>
      <c r="B18" s="7" t="s">
        <v>16</v>
      </c>
      <c r="C18" s="7" t="str">
        <f>CONCATENATE(REPT("     ",BusinessObjects.Thermostat!A18)," ",BusinessObjects.Thermostat!B18)</f>
        <v xml:space="preserve">      controllability</v>
      </c>
      <c r="D18" s="7" t="s">
        <v>187</v>
      </c>
      <c r="E18" s="7" t="s">
        <v>17</v>
      </c>
    </row>
    <row r="19" spans="1:5" x14ac:dyDescent="0.2">
      <c r="A19" s="7">
        <v>1</v>
      </c>
      <c r="B19" s="7" t="s">
        <v>18</v>
      </c>
      <c r="C19" s="7" t="str">
        <f>CONCATENATE(REPT("     ",BusinessObjects.Thermostat!A19)," ",BusinessObjects.Thermostat!B19)</f>
        <v xml:space="preserve">      functionality</v>
      </c>
      <c r="D19" s="7" t="s">
        <v>187</v>
      </c>
      <c r="E19" s="7" t="s">
        <v>19</v>
      </c>
    </row>
    <row r="20" spans="1:5" x14ac:dyDescent="0.2">
      <c r="A20" s="7">
        <v>1</v>
      </c>
      <c r="B20" s="7" t="s">
        <v>20</v>
      </c>
      <c r="C20" s="7" t="str">
        <f>CONCATENATE(REPT("     ",BusinessObjects.Thermostat!A20)," ",BusinessObjects.Thermostat!B20)</f>
        <v xml:space="preserve">      measurability</v>
      </c>
      <c r="D20" s="7" t="s">
        <v>187</v>
      </c>
      <c r="E20" s="7" t="s">
        <v>21</v>
      </c>
    </row>
    <row r="21" spans="1:5" ht="30" x14ac:dyDescent="0.2">
      <c r="A21" s="7">
        <v>1</v>
      </c>
      <c r="B21" s="7" t="s">
        <v>22</v>
      </c>
      <c r="C21" s="7" t="str">
        <f>CONCATENATE(REPT("     ",BusinessObjects.Thermostat!A21)," ",BusinessObjects.Thermostat!B21)</f>
        <v xml:space="preserve">      monitorability</v>
      </c>
      <c r="D21" s="7" t="s">
        <v>187</v>
      </c>
      <c r="E21" s="7" t="s">
        <v>23</v>
      </c>
    </row>
    <row r="22" spans="1:5" x14ac:dyDescent="0.2">
      <c r="A22" s="7">
        <v>1</v>
      </c>
      <c r="B22" s="7" t="s">
        <v>24</v>
      </c>
      <c r="C22" s="7" t="str">
        <f>CONCATENATE(REPT("     ",BusinessObjects.Thermostat!A22)," ",BusinessObjects.Thermostat!B22)</f>
        <v xml:space="preserve">      performance</v>
      </c>
      <c r="D22" s="7" t="s">
        <v>187</v>
      </c>
      <c r="E22" s="7" t="s">
        <v>25</v>
      </c>
    </row>
    <row r="23" spans="1:5" x14ac:dyDescent="0.2">
      <c r="A23" s="7">
        <v>1</v>
      </c>
      <c r="B23" s="7" t="s">
        <v>26</v>
      </c>
      <c r="C23" s="7" t="str">
        <f>CONCATENATE(REPT("     ",BusinessObjects.Thermostat!A23)," ",BusinessObjects.Thermostat!B23)</f>
        <v xml:space="preserve">      physical</v>
      </c>
      <c r="D23" s="7" t="s">
        <v>187</v>
      </c>
      <c r="E23" s="7" t="s">
        <v>27</v>
      </c>
    </row>
    <row r="24" spans="1:5" ht="45" x14ac:dyDescent="0.2">
      <c r="A24" s="7">
        <v>1</v>
      </c>
      <c r="B24" s="7" t="s">
        <v>28</v>
      </c>
      <c r="C24" s="7" t="str">
        <f>CONCATENATE(REPT("     ",BusinessObjects.Thermostat!A24)," ",BusinessObjects.Thermostat!B24)</f>
        <v xml:space="preserve">      physical context</v>
      </c>
      <c r="D24" s="7" t="s">
        <v>187</v>
      </c>
      <c r="E24" s="7" t="s">
        <v>29</v>
      </c>
    </row>
    <row r="25" spans="1:5" x14ac:dyDescent="0.2">
      <c r="A25" s="7">
        <v>1</v>
      </c>
      <c r="B25" s="7" t="s">
        <v>30</v>
      </c>
      <c r="C25" s="7" t="str">
        <f>CONCATENATE(REPT("     ",BusinessObjects.Thermostat!A25)," ",BusinessObjects.Thermostat!B25)</f>
        <v xml:space="preserve">      sensing</v>
      </c>
      <c r="D25" s="7" t="s">
        <v>187</v>
      </c>
      <c r="E25" s="7" t="s">
        <v>31</v>
      </c>
    </row>
    <row r="26" spans="1:5" ht="90" x14ac:dyDescent="0.2">
      <c r="A26" s="7">
        <v>1</v>
      </c>
      <c r="B26" s="7" t="s">
        <v>32</v>
      </c>
      <c r="C26" s="7" t="str">
        <f>CONCATENATE(REPT("     ",BusinessObjects.Thermostat!A26)," ",BusinessObjects.Thermostat!B26)</f>
        <v xml:space="preserve">      uncertainty</v>
      </c>
      <c r="D26" s="7" t="s">
        <v>187</v>
      </c>
      <c r="E26" s="7" t="s">
        <v>33</v>
      </c>
    </row>
    <row r="27" spans="1:5" x14ac:dyDescent="0.2">
      <c r="A27" s="7">
        <v>1</v>
      </c>
      <c r="B27" s="7" t="s">
        <v>188</v>
      </c>
      <c r="C27" s="7" t="str">
        <f>CONCATENATE(REPT("     ",BusinessObjects.Thermostat!A27)," ",BusinessObjects.Thermostat!B27)</f>
        <v xml:space="preserve">      statesAndModes</v>
      </c>
      <c r="D27" s="7" t="s">
        <v>189</v>
      </c>
      <c r="E27" s="7" t="s">
        <v>224</v>
      </c>
    </row>
    <row r="28" spans="1:5" x14ac:dyDescent="0.2">
      <c r="A28" s="7">
        <v>1</v>
      </c>
      <c r="B28" s="7" t="s">
        <v>222</v>
      </c>
      <c r="C28" s="7" t="str">
        <f>CONCATENATE(REPT("     ",BusinessObjects.Thermostat!A28)," ",BusinessObjects.Thermostat!B28)</f>
        <v xml:space="preserve">      manageability</v>
      </c>
      <c r="D28" s="7"/>
      <c r="E28" s="7" t="s">
        <v>223</v>
      </c>
    </row>
    <row r="29" spans="1:5" ht="44" customHeight="1" x14ac:dyDescent="0.2">
      <c r="A29" s="7">
        <v>2</v>
      </c>
      <c r="B29" s="7" t="s">
        <v>194</v>
      </c>
      <c r="C29" s="7" t="str">
        <f>CONCATENATE(REPT("     ",BusinessObjects.Thermostat!A29)," ",BusinessObjects.Thermostat!B29)</f>
        <v xml:space="preserve">           configurationManagement</v>
      </c>
      <c r="D29" s="7" t="s">
        <v>190</v>
      </c>
      <c r="E29" s="7" t="s">
        <v>227</v>
      </c>
    </row>
    <row r="30" spans="1:5" ht="30" x14ac:dyDescent="0.2">
      <c r="A30" s="7">
        <v>2</v>
      </c>
      <c r="B30" s="7" t="s">
        <v>195</v>
      </c>
      <c r="C30" s="7" t="str">
        <f>CONCATENATE(REPT("     ",BusinessObjects.Thermostat!A30)," ",BusinessObjects.Thermostat!B30)</f>
        <v xml:space="preserve">           configurationForLeastFFunctionality</v>
      </c>
      <c r="D30" s="7" t="s">
        <v>191</v>
      </c>
      <c r="E30" s="7" t="s">
        <v>212</v>
      </c>
    </row>
    <row r="31" spans="1:5" ht="30" x14ac:dyDescent="0.2">
      <c r="A31" s="7">
        <v>2</v>
      </c>
      <c r="B31" s="7" t="s">
        <v>192</v>
      </c>
      <c r="C31" s="7" t="str">
        <f>CONCATENATE(REPT("     ",BusinessObjects.Thermostat!A31)," ",BusinessObjects.Thermostat!B31)</f>
        <v xml:space="preserve">           Component Inventory</v>
      </c>
      <c r="D31" s="7" t="s">
        <v>193</v>
      </c>
      <c r="E31" s="7" t="s">
        <v>213</v>
      </c>
    </row>
    <row r="32" spans="1:5" x14ac:dyDescent="0.2">
      <c r="A32" s="5">
        <v>0</v>
      </c>
      <c r="B32" s="5" t="s">
        <v>4</v>
      </c>
      <c r="C32" s="5" t="str">
        <f>CONCATENATE(REPT("     ",BusinessObjects.Thermostat!A32)," ",BusinessObjects.Thermostat!B32)</f>
        <v xml:space="preserve"> Business</v>
      </c>
      <c r="D32" s="5" t="s">
        <v>187</v>
      </c>
      <c r="E32" s="6" t="s">
        <v>116</v>
      </c>
    </row>
    <row r="33" spans="1:5" x14ac:dyDescent="0.2">
      <c r="A33" s="7">
        <v>1</v>
      </c>
      <c r="B33" s="7" t="s">
        <v>34</v>
      </c>
      <c r="C33" s="7" t="str">
        <f>CONCATENATE(REPT("     ",BusinessObjects.Thermostat!A33)," ",BusinessObjects.Thermostat!B33)</f>
        <v xml:space="preserve">      enterprise</v>
      </c>
      <c r="D33" s="7" t="s">
        <v>187</v>
      </c>
      <c r="E33" s="7" t="s">
        <v>35</v>
      </c>
    </row>
    <row r="34" spans="1:5" x14ac:dyDescent="0.2">
      <c r="A34" s="7">
        <v>1</v>
      </c>
      <c r="B34" s="7" t="s">
        <v>2</v>
      </c>
      <c r="C34" s="7" t="str">
        <f>CONCATENATE(REPT("     ",BusinessObjects.Thermostat!A34)," ",BusinessObjects.Thermostat!B34)</f>
        <v xml:space="preserve">      cost</v>
      </c>
      <c r="D34" s="7" t="s">
        <v>187</v>
      </c>
      <c r="E34" s="7" t="s">
        <v>36</v>
      </c>
    </row>
    <row r="35" spans="1:5" x14ac:dyDescent="0.2">
      <c r="A35" s="7">
        <v>1</v>
      </c>
      <c r="B35" s="7" t="s">
        <v>37</v>
      </c>
      <c r="C35" s="7" t="str">
        <f>CONCATENATE(REPT("     ",BusinessObjects.Thermostat!A35)," ",BusinessObjects.Thermostat!B35)</f>
        <v xml:space="preserve">      environment</v>
      </c>
      <c r="D35" s="7" t="s">
        <v>187</v>
      </c>
      <c r="E35" s="7" t="s">
        <v>197</v>
      </c>
    </row>
    <row r="36" spans="1:5" x14ac:dyDescent="0.2">
      <c r="A36" s="7">
        <v>1</v>
      </c>
      <c r="B36" s="7" t="s">
        <v>38</v>
      </c>
      <c r="C36" s="7" t="str">
        <f>CONCATENATE(REPT("     ",BusinessObjects.Thermostat!A36)," ",BusinessObjects.Thermostat!B36)</f>
        <v xml:space="preserve">      policy</v>
      </c>
      <c r="D36" s="7" t="s">
        <v>187</v>
      </c>
      <c r="E36" s="7" t="s">
        <v>39</v>
      </c>
    </row>
    <row r="37" spans="1:5" x14ac:dyDescent="0.2">
      <c r="A37" s="7">
        <v>1</v>
      </c>
      <c r="B37" s="7" t="s">
        <v>40</v>
      </c>
      <c r="C37" s="7" t="str">
        <f>CONCATENATE(REPT("     ",BusinessObjects.Thermostat!A37)," ",BusinessObjects.Thermostat!B37)</f>
        <v xml:space="preserve">      quality</v>
      </c>
      <c r="D37" s="7" t="s">
        <v>187</v>
      </c>
      <c r="E37" s="7" t="s">
        <v>41</v>
      </c>
    </row>
    <row r="38" spans="1:5" x14ac:dyDescent="0.2">
      <c r="A38" s="7">
        <v>1</v>
      </c>
      <c r="B38" s="7" t="s">
        <v>42</v>
      </c>
      <c r="C38" s="7" t="str">
        <f>CONCATENATE(REPT("     ",BusinessObjects.Thermostat!A38)," ",BusinessObjects.Thermostat!B38)</f>
        <v xml:space="preserve">      regulatory</v>
      </c>
      <c r="D38" s="7" t="s">
        <v>187</v>
      </c>
      <c r="E38" s="7" t="s">
        <v>43</v>
      </c>
    </row>
    <row r="39" spans="1:5" x14ac:dyDescent="0.2">
      <c r="A39" s="7">
        <v>1</v>
      </c>
      <c r="B39" s="7" t="s">
        <v>44</v>
      </c>
      <c r="C39" s="7" t="str">
        <f>CONCATENATE(REPT("     ",BusinessObjects.Thermostat!A39)," ",BusinessObjects.Thermostat!B39)</f>
        <v xml:space="preserve">      time to market</v>
      </c>
      <c r="D39" s="7" t="s">
        <v>187</v>
      </c>
      <c r="E39" s="7" t="s">
        <v>45</v>
      </c>
    </row>
    <row r="40" spans="1:5" ht="30" x14ac:dyDescent="0.2">
      <c r="A40" s="7">
        <v>1</v>
      </c>
      <c r="B40" s="7" t="s">
        <v>46</v>
      </c>
      <c r="C40" s="7" t="str">
        <f>CONCATENATE(REPT("     ",BusinessObjects.Thermostat!A40)," ",BusinessObjects.Thermostat!B40)</f>
        <v xml:space="preserve">      utility</v>
      </c>
      <c r="D40" s="7" t="s">
        <v>187</v>
      </c>
      <c r="E40" s="7" t="s">
        <v>47</v>
      </c>
    </row>
    <row r="41" spans="1:5" x14ac:dyDescent="0.2">
      <c r="A41" s="7">
        <v>1</v>
      </c>
      <c r="B41" s="7" t="s">
        <v>196</v>
      </c>
      <c r="C41" s="7" t="str">
        <f>CONCATENATE(REPT("     ",BusinessObjects.Thermostat!A41)," ",BusinessObjects.Thermostat!B41)</f>
        <v xml:space="preserve">      Planning</v>
      </c>
      <c r="D41" s="7"/>
      <c r="E41" s="7" t="s">
        <v>211</v>
      </c>
    </row>
    <row r="42" spans="1:5" x14ac:dyDescent="0.2">
      <c r="A42" s="5">
        <v>0</v>
      </c>
      <c r="B42" s="5" t="s">
        <v>5</v>
      </c>
      <c r="C42" s="5" t="str">
        <f>CONCATENATE(REPT("     ",BusinessObjects.Thermostat!A42)," ",BusinessObjects.Thermostat!B42)</f>
        <v xml:space="preserve"> Human</v>
      </c>
      <c r="D42" s="5" t="s">
        <v>187</v>
      </c>
      <c r="E42" s="6" t="s">
        <v>117</v>
      </c>
    </row>
    <row r="43" spans="1:5" x14ac:dyDescent="0.2">
      <c r="A43" s="7">
        <v>1</v>
      </c>
      <c r="B43" s="7" t="s">
        <v>48</v>
      </c>
      <c r="C43" s="7" t="str">
        <f>CONCATENATE(REPT("     ",BusinessObjects.Thermostat!A43)," ",BusinessObjects.Thermostat!B43)</f>
        <v xml:space="preserve">      human factors</v>
      </c>
      <c r="D43" s="7" t="s">
        <v>187</v>
      </c>
      <c r="E43" s="7" t="s">
        <v>49</v>
      </c>
    </row>
    <row r="44" spans="1:5" ht="45" x14ac:dyDescent="0.2">
      <c r="A44" s="7">
        <v>1</v>
      </c>
      <c r="B44" s="7" t="s">
        <v>50</v>
      </c>
      <c r="C44" s="7" t="str">
        <f>CONCATENATE(REPT("     ",BusinessObjects.Thermostat!A44)," ",BusinessObjects.Thermostat!B44)</f>
        <v xml:space="preserve">      usability</v>
      </c>
      <c r="D44" s="7" t="s">
        <v>187</v>
      </c>
      <c r="E44" s="7" t="s">
        <v>51</v>
      </c>
    </row>
    <row r="45" spans="1:5" x14ac:dyDescent="0.2">
      <c r="A45" s="5">
        <v>0</v>
      </c>
      <c r="B45" s="5" t="s">
        <v>6</v>
      </c>
      <c r="C45" s="5" t="str">
        <f>CONCATENATE(REPT("     ",BusinessObjects.Thermostat!A45)," ",BusinessObjects.Thermostat!B45)</f>
        <v xml:space="preserve"> Trustworthiness</v>
      </c>
      <c r="D45" s="5" t="s">
        <v>187</v>
      </c>
      <c r="E45" s="6" t="s">
        <v>118</v>
      </c>
    </row>
    <row r="46" spans="1:5" ht="75" x14ac:dyDescent="0.2">
      <c r="A46" s="7">
        <v>1</v>
      </c>
      <c r="B46" s="7" t="s">
        <v>52</v>
      </c>
      <c r="C46" s="7" t="str">
        <f>CONCATENATE(REPT("     ",BusinessObjects.Thermostat!A46)," ",BusinessObjects.Thermostat!B46)</f>
        <v xml:space="preserve">      privacy</v>
      </c>
      <c r="D46" s="7" t="s">
        <v>187</v>
      </c>
      <c r="E46" s="7" t="s">
        <v>53</v>
      </c>
    </row>
    <row r="47" spans="1:5" x14ac:dyDescent="0.2">
      <c r="A47" s="7">
        <v>1</v>
      </c>
      <c r="B47" s="7" t="s">
        <v>54</v>
      </c>
      <c r="C47" s="7" t="str">
        <f>CONCATENATE(REPT("     ",BusinessObjects.Thermostat!A47)," ",BusinessObjects.Thermostat!B47)</f>
        <v xml:space="preserve">      reliability</v>
      </c>
      <c r="D47" s="7" t="s">
        <v>187</v>
      </c>
      <c r="E47" s="7" t="s">
        <v>55</v>
      </c>
    </row>
    <row r="48" spans="1:5" ht="30" x14ac:dyDescent="0.2">
      <c r="A48" s="7">
        <v>1</v>
      </c>
      <c r="B48" s="7" t="s">
        <v>56</v>
      </c>
      <c r="C48" s="7" t="str">
        <f>CONCATENATE(REPT("     ",BusinessObjects.Thermostat!A48)," ",BusinessObjects.Thermostat!B48)</f>
        <v xml:space="preserve">      resilience</v>
      </c>
      <c r="D48" s="7" t="s">
        <v>187</v>
      </c>
      <c r="E48" s="7" t="s">
        <v>57</v>
      </c>
    </row>
    <row r="49" spans="1:5" ht="30" x14ac:dyDescent="0.2">
      <c r="A49" s="7">
        <v>1</v>
      </c>
      <c r="B49" s="7" t="s">
        <v>58</v>
      </c>
      <c r="C49" s="7" t="str">
        <f>CONCATENATE(REPT("     ",BusinessObjects.Thermostat!A49)," ",BusinessObjects.Thermostat!B49)</f>
        <v xml:space="preserve">      safety</v>
      </c>
      <c r="D49" s="7" t="s">
        <v>187</v>
      </c>
      <c r="E49" s="7" t="s">
        <v>59</v>
      </c>
    </row>
    <row r="50" spans="1:5" ht="75" x14ac:dyDescent="0.2">
      <c r="A50" s="7">
        <v>1</v>
      </c>
      <c r="B50" s="7" t="s">
        <v>60</v>
      </c>
      <c r="C50" s="7" t="str">
        <f>CONCATENATE(REPT("     ",BusinessObjects.Thermostat!A50)," ",BusinessObjects.Thermostat!B50)</f>
        <v xml:space="preserve">      security</v>
      </c>
      <c r="D50" s="7" t="s">
        <v>187</v>
      </c>
      <c r="E50" s="7" t="s">
        <v>113</v>
      </c>
    </row>
    <row r="51" spans="1:5" x14ac:dyDescent="0.2">
      <c r="A51" s="7">
        <v>2</v>
      </c>
      <c r="B51" s="7" t="s">
        <v>108</v>
      </c>
      <c r="C51" s="7" t="str">
        <f>CONCATENATE(REPT("     ",BusinessObjects.Thermostat!A51)," ",BusinessObjects.Thermostat!B51)</f>
        <v xml:space="preserve">           cybersecurity</v>
      </c>
      <c r="D51" s="7" t="s">
        <v>187</v>
      </c>
      <c r="E51" s="7" t="s">
        <v>228</v>
      </c>
    </row>
    <row r="52" spans="1:5" x14ac:dyDescent="0.2">
      <c r="A52" s="7">
        <v>3</v>
      </c>
      <c r="B52" s="7" t="s">
        <v>107</v>
      </c>
      <c r="C52" s="7" t="str">
        <f>CONCATENATE(REPT("     ",BusinessObjects.Thermostat!A52)," ",BusinessObjects.Thermostat!B52)</f>
        <v xml:space="preserve">                confidentiality</v>
      </c>
      <c r="D52" s="7" t="s">
        <v>187</v>
      </c>
      <c r="E52" s="7" t="s">
        <v>112</v>
      </c>
    </row>
    <row r="53" spans="1:5" x14ac:dyDescent="0.2">
      <c r="A53" s="7">
        <v>3</v>
      </c>
      <c r="B53" s="7" t="s">
        <v>110</v>
      </c>
      <c r="C53" s="7" t="str">
        <f>CONCATENATE(REPT("     ",BusinessObjects.Thermostat!A53)," ",BusinessObjects.Thermostat!B53)</f>
        <v xml:space="preserve">                integrity</v>
      </c>
      <c r="D53" s="7" t="s">
        <v>187</v>
      </c>
      <c r="E53" s="7" t="s">
        <v>215</v>
      </c>
    </row>
    <row r="54" spans="1:5" x14ac:dyDescent="0.2">
      <c r="A54" s="7">
        <v>3</v>
      </c>
      <c r="B54" s="7" t="s">
        <v>111</v>
      </c>
      <c r="C54" s="7" t="str">
        <f>CONCATENATE(REPT("     ",BusinessObjects.Thermostat!A54)," ",BusinessObjects.Thermostat!B54)</f>
        <v xml:space="preserve">                availability</v>
      </c>
      <c r="D54" s="7" t="s">
        <v>187</v>
      </c>
      <c r="E54" s="7" t="s">
        <v>114</v>
      </c>
    </row>
    <row r="55" spans="1:5" x14ac:dyDescent="0.2">
      <c r="A55" s="7">
        <v>2</v>
      </c>
      <c r="B55" s="7" t="s">
        <v>109</v>
      </c>
      <c r="C55" s="7" t="str">
        <f>CONCATENATE(REPT("     ",BusinessObjects.Thermostat!A55)," ",BusinessObjects.Thermostat!B55)</f>
        <v xml:space="preserve">           physicalsecurity</v>
      </c>
      <c r="D55" s="7" t="s">
        <v>187</v>
      </c>
      <c r="E55" s="7" t="s">
        <v>214</v>
      </c>
    </row>
    <row r="56" spans="1:5" ht="30" x14ac:dyDescent="0.2">
      <c r="A56" s="5">
        <v>0</v>
      </c>
      <c r="B56" s="5" t="s">
        <v>7</v>
      </c>
      <c r="C56" s="5" t="str">
        <f>CONCATENATE(REPT("     ",BusinessObjects.Thermostat!A56)," ",BusinessObjects.Thermostat!B56)</f>
        <v xml:space="preserve"> Timing</v>
      </c>
      <c r="D56" s="5" t="s">
        <v>187</v>
      </c>
      <c r="E56" s="6" t="s">
        <v>119</v>
      </c>
    </row>
    <row r="57" spans="1:5" x14ac:dyDescent="0.2">
      <c r="A57" s="7">
        <v>1</v>
      </c>
      <c r="B57" s="7" t="s">
        <v>61</v>
      </c>
      <c r="C57" s="7" t="str">
        <f>CONCATENATE(REPT("     ",BusinessObjects.Thermostat!A57)," ",BusinessObjects.Thermostat!B57)</f>
        <v xml:space="preserve">      logical time</v>
      </c>
      <c r="D57" s="7" t="s">
        <v>187</v>
      </c>
      <c r="E57" s="7" t="s">
        <v>62</v>
      </c>
    </row>
    <row r="58" spans="1:5" ht="60" x14ac:dyDescent="0.2">
      <c r="A58" s="7">
        <v>1</v>
      </c>
      <c r="B58" s="7" t="s">
        <v>63</v>
      </c>
      <c r="C58" s="7" t="str">
        <f>CONCATENATE(REPT("     ",BusinessObjects.Thermostat!A58)," ",BusinessObjects.Thermostat!B58)</f>
        <v xml:space="preserve">      managing timing and latency</v>
      </c>
      <c r="D58" s="7" t="s">
        <v>187</v>
      </c>
      <c r="E58" s="7" t="s">
        <v>64</v>
      </c>
    </row>
    <row r="59" spans="1:5" ht="30" x14ac:dyDescent="0.2">
      <c r="A59" s="7">
        <v>1</v>
      </c>
      <c r="B59" s="7" t="s">
        <v>65</v>
      </c>
      <c r="C59" s="7" t="str">
        <f>CONCATENATE(REPT("     ",BusinessObjects.Thermostat!A59)," ",BusinessObjects.Thermostat!B59)</f>
        <v xml:space="preserve">      synchronization</v>
      </c>
      <c r="D59" s="7" t="s">
        <v>187</v>
      </c>
      <c r="E59" s="7" t="s">
        <v>66</v>
      </c>
    </row>
    <row r="60" spans="1:5" ht="30" x14ac:dyDescent="0.2">
      <c r="A60" s="7">
        <v>1</v>
      </c>
      <c r="B60" s="7" t="s">
        <v>67</v>
      </c>
      <c r="C60" s="7" t="str">
        <f>CONCATENATE(REPT("     ",BusinessObjects.Thermostat!A60)," ",BusinessObjects.Thermostat!B60)</f>
        <v xml:space="preserve">      time awareness</v>
      </c>
      <c r="D60" s="7" t="s">
        <v>187</v>
      </c>
      <c r="E60" s="7" t="s">
        <v>68</v>
      </c>
    </row>
    <row r="61" spans="1:5" ht="45" x14ac:dyDescent="0.2">
      <c r="A61" s="7">
        <v>1</v>
      </c>
      <c r="B61" s="7" t="s">
        <v>69</v>
      </c>
      <c r="C61" s="7" t="str">
        <f>CONCATENATE(REPT("     ",BusinessObjects.Thermostat!A61)," ",BusinessObjects.Thermostat!B61)</f>
        <v xml:space="preserve">      time-interval and latency control</v>
      </c>
      <c r="D61" s="7" t="s">
        <v>187</v>
      </c>
      <c r="E61" s="7" t="s">
        <v>70</v>
      </c>
    </row>
    <row r="62" spans="1:5" x14ac:dyDescent="0.2">
      <c r="A62" s="5">
        <v>0</v>
      </c>
      <c r="B62" s="5" t="s">
        <v>8</v>
      </c>
      <c r="C62" s="5" t="str">
        <f>CONCATENATE(REPT("     ",BusinessObjects.Thermostat!A62)," ",BusinessObjects.Thermostat!B62)</f>
        <v xml:space="preserve"> Data</v>
      </c>
      <c r="D62" s="5" t="s">
        <v>187</v>
      </c>
      <c r="E62" s="6" t="s">
        <v>120</v>
      </c>
    </row>
    <row r="63" spans="1:5" x14ac:dyDescent="0.2">
      <c r="A63" s="7">
        <v>1</v>
      </c>
      <c r="B63" s="7" t="s">
        <v>71</v>
      </c>
      <c r="C63" s="7" t="str">
        <f>CONCATENATE(REPT("     ",BusinessObjects.Thermostat!A63)," ",BusinessObjects.Thermostat!B63)</f>
        <v xml:space="preserve">      data semantics</v>
      </c>
      <c r="D63" s="7" t="s">
        <v>187</v>
      </c>
      <c r="E63" s="7" t="s">
        <v>72</v>
      </c>
    </row>
    <row r="64" spans="1:5" x14ac:dyDescent="0.2">
      <c r="A64" s="7">
        <v>2</v>
      </c>
      <c r="B64" s="7" t="s">
        <v>134</v>
      </c>
      <c r="C64" s="7" t="str">
        <f>CONCATENATE(REPT("     ",BusinessObjects.Thermostat!A64)," ",BusinessObjects.Thermostat!B64)</f>
        <v xml:space="preserve">           data models</v>
      </c>
      <c r="D64" s="7" t="s">
        <v>187</v>
      </c>
      <c r="E64" s="7" t="s">
        <v>141</v>
      </c>
    </row>
    <row r="65" spans="1:5" x14ac:dyDescent="0.2">
      <c r="A65" s="7">
        <v>2</v>
      </c>
      <c r="B65" s="7" t="s">
        <v>135</v>
      </c>
      <c r="C65" s="7" t="str">
        <f>CONCATENATE(REPT("     ",BusinessObjects.Thermostat!A65)," ",BusinessObjects.Thermostat!B65)</f>
        <v xml:space="preserve">           granularity</v>
      </c>
      <c r="D65" s="7" t="s">
        <v>187</v>
      </c>
      <c r="E65" s="7" t="s">
        <v>148</v>
      </c>
    </row>
    <row r="66" spans="1:5" x14ac:dyDescent="0.2">
      <c r="A66" s="7">
        <v>2</v>
      </c>
      <c r="B66" s="7" t="s">
        <v>136</v>
      </c>
      <c r="C66" s="7" t="str">
        <f>CONCATENATE(REPT("     ",BusinessObjects.Thermostat!A66)," ",BusinessObjects.Thermostat!B66)</f>
        <v xml:space="preserve">           meaning</v>
      </c>
      <c r="D66" s="7" t="s">
        <v>187</v>
      </c>
      <c r="E66" s="7" t="s">
        <v>149</v>
      </c>
    </row>
    <row r="67" spans="1:5" ht="30" x14ac:dyDescent="0.2">
      <c r="A67" s="7">
        <v>1</v>
      </c>
      <c r="B67" s="7" t="s">
        <v>73</v>
      </c>
      <c r="C67" s="7" t="str">
        <f>CONCATENATE(REPT("     ",BusinessObjects.Thermostat!A67)," ",BusinessObjects.Thermostat!B67)</f>
        <v xml:space="preserve">      identity</v>
      </c>
      <c r="D67" s="7" t="s">
        <v>187</v>
      </c>
      <c r="E67" s="7" t="s">
        <v>74</v>
      </c>
    </row>
    <row r="68" spans="1:5" ht="30" x14ac:dyDescent="0.2">
      <c r="A68" s="7">
        <v>2</v>
      </c>
      <c r="B68" s="7" t="s">
        <v>216</v>
      </c>
      <c r="C68" s="7" t="str">
        <f>CONCATENATE(REPT("     ",BusinessObjects.Thermostat!A68)," ",BusinessObjects.Thermostat!B68)</f>
        <v xml:space="preserve">           resourceIdentification</v>
      </c>
      <c r="D68" s="7" t="s">
        <v>198</v>
      </c>
      <c r="E68" s="7" t="s">
        <v>150</v>
      </c>
    </row>
    <row r="69" spans="1:5" x14ac:dyDescent="0.2">
      <c r="A69" s="7">
        <v>3</v>
      </c>
      <c r="B69" s="7" t="s">
        <v>217</v>
      </c>
      <c r="C69" s="7" t="str">
        <f>CONCATENATE(REPT("     ",BusinessObjects.Thermostat!A69)," ",BusinessObjects.Thermostat!B69)</f>
        <v xml:space="preserve">                userIdentification</v>
      </c>
      <c r="D69" s="7" t="s">
        <v>199</v>
      </c>
      <c r="E69" s="7" t="s">
        <v>229</v>
      </c>
    </row>
    <row r="70" spans="1:5" ht="30" x14ac:dyDescent="0.2">
      <c r="A70" s="7">
        <v>3</v>
      </c>
      <c r="B70" s="7" t="s">
        <v>218</v>
      </c>
      <c r="C70" s="7" t="str">
        <f>CONCATENATE(REPT("     ",BusinessObjects.Thermostat!A70)," ",BusinessObjects.Thermostat!B70)</f>
        <v xml:space="preserve">                deviceIdentification</v>
      </c>
      <c r="D70" s="7" t="s">
        <v>200</v>
      </c>
      <c r="E70" s="7" t="s">
        <v>230</v>
      </c>
    </row>
    <row r="71" spans="1:5" ht="30" x14ac:dyDescent="0.2">
      <c r="A71" s="7">
        <v>3</v>
      </c>
      <c r="B71" s="7" t="s">
        <v>219</v>
      </c>
      <c r="C71" s="7" t="str">
        <f>CONCATENATE(REPT("     ",BusinessObjects.Thermostat!A71)," ",BusinessObjects.Thermostat!B71)</f>
        <v xml:space="preserve">                objectIdentification</v>
      </c>
      <c r="D71" s="7" t="s">
        <v>201</v>
      </c>
      <c r="E71" s="7" t="s">
        <v>231</v>
      </c>
    </row>
    <row r="72" spans="1:5" x14ac:dyDescent="0.2">
      <c r="A72" s="7">
        <v>3</v>
      </c>
      <c r="B72" s="7" t="s">
        <v>220</v>
      </c>
      <c r="C72" s="7" t="str">
        <f>CONCATENATE(REPT("     ",BusinessObjects.Thermostat!A72)," ",BusinessObjects.Thermostat!B72)</f>
        <v xml:space="preserve">                classIdentification</v>
      </c>
      <c r="D72" s="7"/>
      <c r="E72" s="7" t="s">
        <v>232</v>
      </c>
    </row>
    <row r="73" spans="1:5" x14ac:dyDescent="0.2">
      <c r="A73" s="7">
        <v>2</v>
      </c>
      <c r="B73" s="7" t="s">
        <v>137</v>
      </c>
      <c r="C73" s="7" t="str">
        <f>CONCATENATE(REPT("     ",BusinessObjects.Thermostat!A73)," ",BusinessObjects.Thermostat!B73)</f>
        <v xml:space="preserve">           authentication</v>
      </c>
      <c r="D73" s="7" t="s">
        <v>187</v>
      </c>
      <c r="E73" s="7" t="s">
        <v>151</v>
      </c>
    </row>
    <row r="74" spans="1:5" x14ac:dyDescent="0.2">
      <c r="A74" s="7">
        <v>2</v>
      </c>
      <c r="B74" s="7" t="s">
        <v>138</v>
      </c>
      <c r="C74" s="7" t="str">
        <f>CONCATENATE(REPT("     ",BusinessObjects.Thermostat!A74)," ",BusinessObjects.Thermostat!B74)</f>
        <v xml:space="preserve">           authorization</v>
      </c>
      <c r="D74" s="7" t="s">
        <v>187</v>
      </c>
      <c r="E74" s="7" t="s">
        <v>152</v>
      </c>
    </row>
    <row r="75" spans="1:5" x14ac:dyDescent="0.2">
      <c r="A75" s="7">
        <v>2</v>
      </c>
      <c r="B75" s="7" t="s">
        <v>139</v>
      </c>
      <c r="C75" s="7" t="str">
        <f>CONCATENATE(REPT("     ",BusinessObjects.Thermostat!A75)," ",BusinessObjects.Thermostat!B75)</f>
        <v xml:space="preserve">           verification</v>
      </c>
      <c r="D75" s="7" t="s">
        <v>187</v>
      </c>
      <c r="E75" s="7" t="s">
        <v>153</v>
      </c>
    </row>
    <row r="76" spans="1:5" x14ac:dyDescent="0.2">
      <c r="A76" s="7">
        <v>2</v>
      </c>
      <c r="B76" s="7" t="s">
        <v>110</v>
      </c>
      <c r="C76" s="7" t="str">
        <f>CONCATENATE(REPT("     ",BusinessObjects.Thermostat!A76)," ",BusinessObjects.Thermostat!B76)</f>
        <v xml:space="preserve">           integrity</v>
      </c>
      <c r="D76" s="7" t="s">
        <v>187</v>
      </c>
      <c r="E76" s="7" t="s">
        <v>154</v>
      </c>
    </row>
    <row r="77" spans="1:5" x14ac:dyDescent="0.2">
      <c r="A77" s="7">
        <v>2</v>
      </c>
      <c r="B77" s="7" t="s">
        <v>221</v>
      </c>
      <c r="C77" s="7" t="str">
        <f>CONCATENATE(REPT("     ",BusinessObjects.Thermostat!A77)," ",BusinessObjects.Thermostat!B77)</f>
        <v xml:space="preserve">           configuration</v>
      </c>
      <c r="D77" s="7" t="s">
        <v>187</v>
      </c>
      <c r="E77" s="7" t="s">
        <v>155</v>
      </c>
    </row>
    <row r="78" spans="1:5" x14ac:dyDescent="0.2">
      <c r="A78" s="7">
        <v>2</v>
      </c>
      <c r="B78" s="7" t="s">
        <v>140</v>
      </c>
      <c r="C78" s="7" t="str">
        <f>CONCATENATE(REPT("     ",BusinessObjects.Thermostat!A78)," ",BusinessObjects.Thermostat!B78)</f>
        <v xml:space="preserve">           provenance</v>
      </c>
      <c r="D78" s="7" t="s">
        <v>187</v>
      </c>
      <c r="E78" s="7" t="s">
        <v>156</v>
      </c>
    </row>
    <row r="79" spans="1:5" ht="30" x14ac:dyDescent="0.2">
      <c r="A79" s="7">
        <v>1</v>
      </c>
      <c r="B79" s="7" t="s">
        <v>75</v>
      </c>
      <c r="C79" s="7" t="str">
        <f>CONCATENATE(REPT("     ",BusinessObjects.Thermostat!A79)," ",BusinessObjects.Thermostat!B79)</f>
        <v xml:space="preserve">      operations on data</v>
      </c>
      <c r="D79" s="7" t="s">
        <v>187</v>
      </c>
      <c r="E79" s="7" t="s">
        <v>76</v>
      </c>
    </row>
    <row r="80" spans="1:5" x14ac:dyDescent="0.2">
      <c r="A80" s="7">
        <v>2</v>
      </c>
      <c r="B80" s="7" t="s">
        <v>130</v>
      </c>
      <c r="C80" s="7" t="str">
        <f>CONCATENATE(REPT("     ",BusinessObjects.Thermostat!A80)," ",BusinessObjects.Thermostat!B80)</f>
        <v xml:space="preserve">           analytics</v>
      </c>
      <c r="D80" s="7" t="s">
        <v>187</v>
      </c>
      <c r="E80" s="7" t="s">
        <v>130</v>
      </c>
    </row>
    <row r="81" spans="1:5" x14ac:dyDescent="0.2">
      <c r="A81" s="7">
        <v>2</v>
      </c>
      <c r="B81" s="7" t="s">
        <v>125</v>
      </c>
      <c r="C81" s="7" t="str">
        <f>CONCATENATE(REPT("     ",BusinessObjects.Thermostat!A81)," ",BusinessObjects.Thermostat!B81)</f>
        <v xml:space="preserve">           fusion</v>
      </c>
      <c r="D81" s="7" t="s">
        <v>187</v>
      </c>
      <c r="E81" s="7" t="s">
        <v>127</v>
      </c>
    </row>
    <row r="82" spans="1:5" x14ac:dyDescent="0.2">
      <c r="A82" s="7">
        <v>2</v>
      </c>
      <c r="B82" s="7" t="s">
        <v>131</v>
      </c>
      <c r="C82" s="7" t="str">
        <f>CONCATENATE(REPT("     ",BusinessObjects.Thermostat!A82)," ",BusinessObjects.Thermostat!B82)</f>
        <v xml:space="preserve">           storage</v>
      </c>
      <c r="D82" s="7" t="s">
        <v>187</v>
      </c>
      <c r="E82" s="7" t="s">
        <v>128</v>
      </c>
    </row>
    <row r="83" spans="1:5" ht="30" x14ac:dyDescent="0.2">
      <c r="A83" s="7">
        <v>2</v>
      </c>
      <c r="B83" s="7" t="s">
        <v>132</v>
      </c>
      <c r="C83" s="7" t="str">
        <f>CONCATENATE(REPT("     ",BusinessObjects.Thermostat!A83)," ",BusinessObjects.Thermostat!B83)</f>
        <v xml:space="preserve">           aggregation/disaggregation</v>
      </c>
      <c r="D83" s="7" t="s">
        <v>187</v>
      </c>
      <c r="E83" s="7" t="s">
        <v>158</v>
      </c>
    </row>
    <row r="84" spans="1:5" x14ac:dyDescent="0.2">
      <c r="A84" s="7">
        <v>2</v>
      </c>
      <c r="B84" s="7" t="s">
        <v>133</v>
      </c>
      <c r="C84" s="7" t="str">
        <f>CONCATENATE(REPT("     ",BusinessObjects.Thermostat!A84)," ",BusinessObjects.Thermostat!B84)</f>
        <v xml:space="preserve">           transformation</v>
      </c>
      <c r="D84" s="7" t="s">
        <v>187</v>
      </c>
      <c r="E84" s="7" t="s">
        <v>157</v>
      </c>
    </row>
    <row r="85" spans="1:5" ht="30" x14ac:dyDescent="0.2">
      <c r="A85" s="7">
        <v>1</v>
      </c>
      <c r="B85" s="7" t="s">
        <v>77</v>
      </c>
      <c r="C85" s="7" t="str">
        <f>CONCATENATE(REPT("     ",BusinessObjects.Thermostat!A85)," ",BusinessObjects.Thermostat!B85)</f>
        <v xml:space="preserve">      relationship between data</v>
      </c>
      <c r="D85" s="7" t="s">
        <v>187</v>
      </c>
      <c r="E85" s="7" t="s">
        <v>78</v>
      </c>
    </row>
    <row r="86" spans="1:5" x14ac:dyDescent="0.2">
      <c r="A86" s="7">
        <v>2</v>
      </c>
      <c r="B86" s="7" t="s">
        <v>142</v>
      </c>
      <c r="C86" s="7" t="str">
        <f>CONCATENATE(REPT("     ",BusinessObjects.Thermostat!A86)," ",BusinessObjects.Thermostat!B86)</f>
        <v xml:space="preserve">           time of data</v>
      </c>
      <c r="D86" s="7" t="s">
        <v>187</v>
      </c>
      <c r="E86" s="7" t="s">
        <v>159</v>
      </c>
    </row>
    <row r="87" spans="1:5" ht="45" x14ac:dyDescent="0.2">
      <c r="A87" s="7">
        <v>2</v>
      </c>
      <c r="B87" s="7" t="s">
        <v>143</v>
      </c>
      <c r="C87" s="7" t="str">
        <f>CONCATENATE(REPT("     ",BusinessObjects.Thermostat!A87)," ",BusinessObjects.Thermostat!B87)</f>
        <v xml:space="preserve">           related data (including metadata)</v>
      </c>
      <c r="D87" s="7" t="s">
        <v>187</v>
      </c>
      <c r="E87" s="7" t="s">
        <v>160</v>
      </c>
    </row>
    <row r="88" spans="1:5" x14ac:dyDescent="0.2">
      <c r="A88" s="7">
        <v>2</v>
      </c>
      <c r="B88" s="7" t="s">
        <v>144</v>
      </c>
      <c r="C88" s="7" t="str">
        <f>CONCATENATE(REPT("     ",BusinessObjects.Thermostat!A88)," ",BusinessObjects.Thermostat!B88)</f>
        <v xml:space="preserve">           location of data</v>
      </c>
      <c r="D88" s="7" t="s">
        <v>187</v>
      </c>
      <c r="E88" s="7" t="s">
        <v>144</v>
      </c>
    </row>
    <row r="89" spans="1:5" x14ac:dyDescent="0.2">
      <c r="A89" s="7">
        <v>2</v>
      </c>
      <c r="B89" s="7" t="s">
        <v>145</v>
      </c>
      <c r="C89" s="7" t="str">
        <f>CONCATENATE(REPT("     ",BusinessObjects.Thermostat!A89)," ",BusinessObjects.Thermostat!B89)</f>
        <v xml:space="preserve">           inheritance</v>
      </c>
      <c r="D89" s="7" t="s">
        <v>187</v>
      </c>
      <c r="E89" s="7" t="s">
        <v>161</v>
      </c>
    </row>
    <row r="90" spans="1:5" x14ac:dyDescent="0.2">
      <c r="A90" s="7">
        <v>2</v>
      </c>
      <c r="B90" s="7" t="s">
        <v>146</v>
      </c>
      <c r="C90" s="7" t="str">
        <f>CONCATENATE(REPT("     ",BusinessObjects.Thermostat!A90)," ",BusinessObjects.Thermostat!B90)</f>
        <v xml:space="preserve">           polymorphism</v>
      </c>
      <c r="D90" s="7" t="s">
        <v>187</v>
      </c>
      <c r="E90" s="7" t="s">
        <v>162</v>
      </c>
    </row>
    <row r="91" spans="1:5" ht="30" x14ac:dyDescent="0.2">
      <c r="A91" s="7">
        <v>2</v>
      </c>
      <c r="B91" s="7" t="s">
        <v>163</v>
      </c>
      <c r="C91" s="7" t="str">
        <f>CONCATENATE(REPT("     ",BusinessObjects.Thermostat!A91)," ",BusinessObjects.Thermostat!B91)</f>
        <v xml:space="preserve">           directionality of relationships</v>
      </c>
      <c r="D91" s="7" t="s">
        <v>187</v>
      </c>
      <c r="E91" s="7" t="s">
        <v>147</v>
      </c>
    </row>
    <row r="92" spans="1:5" x14ac:dyDescent="0.2">
      <c r="A92" s="7">
        <v>2</v>
      </c>
      <c r="B92" s="7" t="s">
        <v>40</v>
      </c>
      <c r="C92" s="7" t="str">
        <f>CONCATENATE(REPT("     ",BusinessObjects.Thermostat!A92)," ",BusinessObjects.Thermostat!B92)</f>
        <v xml:space="preserve">           quality</v>
      </c>
      <c r="D92" s="7" t="s">
        <v>187</v>
      </c>
      <c r="E92" s="7" t="s">
        <v>164</v>
      </c>
    </row>
    <row r="93" spans="1:5" x14ac:dyDescent="0.2">
      <c r="A93" s="7">
        <v>1</v>
      </c>
      <c r="B93" s="7" t="s">
        <v>126</v>
      </c>
      <c r="C93" s="7" t="str">
        <f>CONCATENATE(REPT("     ",BusinessObjects.Thermostat!A93)," ",BusinessObjects.Thermostat!B93)</f>
        <v xml:space="preserve">      velocity</v>
      </c>
      <c r="D93" s="7" t="s">
        <v>187</v>
      </c>
      <c r="E93" s="7" t="s">
        <v>129</v>
      </c>
    </row>
    <row r="94" spans="1:5" ht="13" customHeight="1" x14ac:dyDescent="0.2">
      <c r="A94" s="5">
        <v>0</v>
      </c>
      <c r="B94" s="5" t="s">
        <v>9</v>
      </c>
      <c r="C94" s="5" t="str">
        <f>CONCATENATE(REPT("     ",BusinessObjects.Thermostat!A94)," ",BusinessObjects.Thermostat!B94)</f>
        <v xml:space="preserve"> Boundaries</v>
      </c>
      <c r="D94" s="5" t="s">
        <v>187</v>
      </c>
      <c r="E94" s="6" t="s">
        <v>121</v>
      </c>
    </row>
    <row r="95" spans="1:5" ht="30" x14ac:dyDescent="0.2">
      <c r="A95" s="7">
        <v>1</v>
      </c>
      <c r="B95" s="7" t="s">
        <v>79</v>
      </c>
      <c r="C95" s="7" t="str">
        <f>CONCATENATE(REPT("     ",BusinessObjects.Thermostat!A95)," ",BusinessObjects.Thermostat!B95)</f>
        <v xml:space="preserve">      behavioral</v>
      </c>
      <c r="D95" s="7" t="s">
        <v>187</v>
      </c>
      <c r="E95" s="7" t="s">
        <v>80</v>
      </c>
    </row>
    <row r="96" spans="1:5" x14ac:dyDescent="0.2">
      <c r="A96" s="7">
        <v>1</v>
      </c>
      <c r="B96" s="7" t="s">
        <v>81</v>
      </c>
      <c r="C96" s="7" t="str">
        <f>CONCATENATE(REPT("     ",BusinessObjects.Thermostat!A96)," ",BusinessObjects.Thermostat!B96)</f>
        <v xml:space="preserve">      networkability</v>
      </c>
      <c r="D96" s="7" t="s">
        <v>187</v>
      </c>
      <c r="E96" s="7" t="s">
        <v>82</v>
      </c>
    </row>
    <row r="97" spans="1:5" x14ac:dyDescent="0.2">
      <c r="A97" s="7">
        <v>1</v>
      </c>
      <c r="B97" s="7" t="s">
        <v>83</v>
      </c>
      <c r="C97" s="7" t="str">
        <f>CONCATENATE(REPT("     ",BusinessObjects.Thermostat!A97)," ",BusinessObjects.Thermostat!B97)</f>
        <v xml:space="preserve">      responsibility</v>
      </c>
      <c r="D97" s="7" t="s">
        <v>187</v>
      </c>
      <c r="E97" s="7" t="s">
        <v>84</v>
      </c>
    </row>
    <row r="98" spans="1:5" ht="45" x14ac:dyDescent="0.2">
      <c r="A98" s="5">
        <v>0</v>
      </c>
      <c r="B98" s="5" t="s">
        <v>10</v>
      </c>
      <c r="C98" s="5" t="str">
        <f>CONCATENATE(REPT("     ",BusinessObjects.Thermostat!A98)," ",BusinessObjects.Thermostat!B98)</f>
        <v xml:space="preserve"> Composition</v>
      </c>
      <c r="D98" s="5" t="s">
        <v>187</v>
      </c>
      <c r="E98" s="6" t="s">
        <v>122</v>
      </c>
    </row>
    <row r="99" spans="1:5" ht="30" x14ac:dyDescent="0.2">
      <c r="A99" s="7">
        <v>1</v>
      </c>
      <c r="B99" s="7" t="s">
        <v>85</v>
      </c>
      <c r="C99" s="7" t="str">
        <f>CONCATENATE(REPT("     ",BusinessObjects.Thermostat!A99)," ",BusinessObjects.Thermostat!B99)</f>
        <v xml:space="preserve">      adaptability</v>
      </c>
      <c r="D99" s="7" t="s">
        <v>187</v>
      </c>
      <c r="E99" s="7" t="s">
        <v>86</v>
      </c>
    </row>
    <row r="100" spans="1:5" ht="30" x14ac:dyDescent="0.2">
      <c r="A100" s="7">
        <v>1</v>
      </c>
      <c r="B100" s="7" t="s">
        <v>87</v>
      </c>
      <c r="C100" s="7" t="str">
        <f>CONCATENATE(REPT("     ",BusinessObjects.Thermostat!A100)," ",BusinessObjects.Thermostat!B100)</f>
        <v xml:space="preserve">      complexity</v>
      </c>
      <c r="D100" s="7" t="s">
        <v>187</v>
      </c>
      <c r="E100" s="7" t="s">
        <v>88</v>
      </c>
    </row>
    <row r="101" spans="1:5" x14ac:dyDescent="0.2">
      <c r="A101" s="7">
        <v>1</v>
      </c>
      <c r="B101" s="7" t="s">
        <v>89</v>
      </c>
      <c r="C101" s="7" t="str">
        <f>CONCATENATE(REPT("     ",BusinessObjects.Thermostat!A101)," ",BusinessObjects.Thermostat!B101)</f>
        <v xml:space="preserve">      constructivity</v>
      </c>
      <c r="D101" s="7" t="s">
        <v>187</v>
      </c>
      <c r="E101" s="7" t="s">
        <v>90</v>
      </c>
    </row>
    <row r="102" spans="1:5" ht="45" x14ac:dyDescent="0.2">
      <c r="A102" s="7">
        <v>1</v>
      </c>
      <c r="B102" s="7" t="s">
        <v>91</v>
      </c>
      <c r="C102" s="7" t="str">
        <f>CONCATENATE(REPT("     ",BusinessObjects.Thermostat!A102)," ",BusinessObjects.Thermostat!B102)</f>
        <v xml:space="preserve">      discoverability</v>
      </c>
      <c r="D102" s="7" t="s">
        <v>187</v>
      </c>
      <c r="E102" s="7" t="s">
        <v>92</v>
      </c>
    </row>
    <row r="103" spans="1:5" x14ac:dyDescent="0.2">
      <c r="A103" s="5">
        <v>0</v>
      </c>
      <c r="B103" s="5" t="s">
        <v>11</v>
      </c>
      <c r="C103" s="5" t="str">
        <f>CONCATENATE(REPT("     ",BusinessObjects.Thermostat!A103)," ",BusinessObjects.Thermostat!B103)</f>
        <v xml:space="preserve"> Lifecycle</v>
      </c>
      <c r="D103" s="5" t="s">
        <v>187</v>
      </c>
      <c r="E103" s="6" t="s">
        <v>123</v>
      </c>
    </row>
    <row r="104" spans="1:5" x14ac:dyDescent="0.2">
      <c r="A104" s="7">
        <v>1</v>
      </c>
      <c r="B104" s="7" t="s">
        <v>93</v>
      </c>
      <c r="C104" s="7" t="str">
        <f>CONCATENATE(REPT("     ",BusinessObjects.Thermostat!A104)," ",BusinessObjects.Thermostat!B104)</f>
        <v xml:space="preserve">      deployability</v>
      </c>
      <c r="D104" s="7" t="s">
        <v>187</v>
      </c>
      <c r="E104" s="7" t="s">
        <v>94</v>
      </c>
    </row>
    <row r="105" spans="1:5" x14ac:dyDescent="0.2">
      <c r="A105" s="7">
        <v>1</v>
      </c>
      <c r="B105" s="7" t="s">
        <v>95</v>
      </c>
      <c r="C105" s="7" t="str">
        <f>CONCATENATE(REPT("     ",BusinessObjects.Thermostat!A105)," ",BusinessObjects.Thermostat!B105)</f>
        <v xml:space="preserve">      disposability</v>
      </c>
      <c r="D105" s="7" t="s">
        <v>187</v>
      </c>
      <c r="E105" s="7" t="s">
        <v>96</v>
      </c>
    </row>
    <row r="106" spans="1:5" ht="30" x14ac:dyDescent="0.2">
      <c r="A106" s="7">
        <v>1</v>
      </c>
      <c r="B106" s="7" t="s">
        <v>97</v>
      </c>
      <c r="C106" s="7" t="str">
        <f>CONCATENATE(REPT("     ",BusinessObjects.Thermostat!A106)," ",BusinessObjects.Thermostat!B106)</f>
        <v xml:space="preserve">      engineerability</v>
      </c>
      <c r="D106" s="7" t="s">
        <v>187</v>
      </c>
      <c r="E106" s="7" t="s">
        <v>98</v>
      </c>
    </row>
    <row r="107" spans="1:5" x14ac:dyDescent="0.2">
      <c r="A107" s="7">
        <v>1</v>
      </c>
      <c r="B107" s="7" t="s">
        <v>99</v>
      </c>
      <c r="C107" s="7" t="str">
        <f>CONCATENATE(REPT("     ",BusinessObjects.Thermostat!A107)," ",BusinessObjects.Thermostat!B107)</f>
        <v xml:space="preserve">      maintainability</v>
      </c>
      <c r="D107" s="7" t="s">
        <v>187</v>
      </c>
      <c r="E107" s="7" t="s">
        <v>100</v>
      </c>
    </row>
    <row r="108" spans="1:5" x14ac:dyDescent="0.2">
      <c r="A108" s="7">
        <v>1</v>
      </c>
      <c r="B108" s="7" t="s">
        <v>101</v>
      </c>
      <c r="C108" s="7" t="str">
        <f>CONCATENATE(REPT("     ",BusinessObjects.Thermostat!A108)," ",BusinessObjects.Thermostat!B108)</f>
        <v xml:space="preserve">      operatability</v>
      </c>
      <c r="D108" s="7" t="s">
        <v>187</v>
      </c>
      <c r="E108" s="7" t="s">
        <v>102</v>
      </c>
    </row>
    <row r="109" spans="1:5" x14ac:dyDescent="0.2">
      <c r="A109" s="7">
        <v>1</v>
      </c>
      <c r="B109" s="7" t="s">
        <v>103</v>
      </c>
      <c r="C109" s="7" t="str">
        <f>CONCATENATE(REPT("     ",BusinessObjects.Thermostat!A109)," ",BusinessObjects.Thermostat!B109)</f>
        <v xml:space="preserve">      procureability</v>
      </c>
      <c r="D109" s="7" t="s">
        <v>187</v>
      </c>
      <c r="E109" s="7" t="s">
        <v>104</v>
      </c>
    </row>
    <row r="110" spans="1:5" x14ac:dyDescent="0.2">
      <c r="A110" s="7">
        <v>1</v>
      </c>
      <c r="B110" s="7" t="s">
        <v>105</v>
      </c>
      <c r="C110" s="7" t="str">
        <f>CONCATENATE(REPT("     ",BusinessObjects.Thermostat!A110)," ",BusinessObjects.Thermostat!B110)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J110"/>
  <sheetViews>
    <sheetView zoomScale="85" zoomScaleNormal="85" zoomScalePageLayoutView="85" workbookViewId="0">
      <pane ySplit="4" topLeftCell="A5" activePane="bottomLeft" state="frozen"/>
      <selection pane="bottomLeft" activeCell="G29" sqref="G29"/>
    </sheetView>
  </sheetViews>
  <sheetFormatPr baseColWidth="10" defaultColWidth="8.83203125" defaultRowHeight="15" x14ac:dyDescent="0.2"/>
  <cols>
    <col min="1" max="1" width="15.33203125" style="3" customWidth="1"/>
    <col min="2" max="2" width="15.33203125" style="3" hidden="1" customWidth="1"/>
    <col min="3" max="3" width="40.5" style="3" customWidth="1"/>
    <col min="4" max="4" width="40.5" style="3" hidden="1" customWidth="1"/>
    <col min="5" max="5" width="105.83203125" style="3" customWidth="1"/>
    <col min="6" max="7" width="50.33203125" style="3" customWidth="1"/>
    <col min="8" max="8" width="12.6640625" style="3" customWidth="1"/>
    <col min="9" max="9" width="35.5" style="3" customWidth="1"/>
    <col min="10" max="10" width="82.1640625" style="3" customWidth="1"/>
    <col min="11" max="16384" width="8.83203125" style="3"/>
  </cols>
  <sheetData>
    <row r="1" spans="1:10" ht="34" x14ac:dyDescent="0.2">
      <c r="A1" s="8">
        <f ca="1">NOW()</f>
        <v>42636.659261111112</v>
      </c>
      <c r="E1" s="4" t="s">
        <v>124</v>
      </c>
    </row>
    <row r="3" spans="1:10" x14ac:dyDescent="0.2">
      <c r="F3" s="9" t="s">
        <v>238</v>
      </c>
      <c r="G3" s="9"/>
      <c r="H3" s="9"/>
      <c r="I3" s="9"/>
      <c r="J3" s="9"/>
    </row>
    <row r="4" spans="1:10" s="2" customFormat="1" ht="24" x14ac:dyDescent="0.2">
      <c r="A4" s="1" t="s">
        <v>0</v>
      </c>
      <c r="B4" s="1" t="s">
        <v>165</v>
      </c>
      <c r="C4" s="1" t="s">
        <v>225</v>
      </c>
      <c r="D4" s="1" t="s">
        <v>186</v>
      </c>
      <c r="E4" s="1" t="s">
        <v>1</v>
      </c>
      <c r="F4" s="2" t="s">
        <v>235</v>
      </c>
      <c r="G4" s="2" t="s">
        <v>236</v>
      </c>
      <c r="H4" s="2" t="s">
        <v>237</v>
      </c>
      <c r="I4" s="2" t="s">
        <v>233</v>
      </c>
      <c r="J4" s="2" t="s">
        <v>234</v>
      </c>
    </row>
    <row r="5" spans="1:10" x14ac:dyDescent="0.2">
      <c r="A5" s="5">
        <v>0</v>
      </c>
      <c r="B5" s="5" t="s">
        <v>3</v>
      </c>
      <c r="C5" s="5" t="str">
        <f>CONCATENATE(REPT("     ",CPS.Thermostat!A5)," ",CPS.Thermostat!B5)</f>
        <v xml:space="preserve"> Functional</v>
      </c>
      <c r="D5" s="5" t="s">
        <v>187</v>
      </c>
      <c r="E5" s="6" t="s">
        <v>115</v>
      </c>
    </row>
    <row r="6" spans="1:10" x14ac:dyDescent="0.2">
      <c r="A6" s="7">
        <v>1</v>
      </c>
      <c r="B6" s="7" t="s">
        <v>12</v>
      </c>
      <c r="C6" s="7" t="str">
        <f>CONCATENATE(REPT("     ",CPS.Thermostat!A6)," ",CPS.Thermostat!B6)</f>
        <v xml:space="preserve">      actuation</v>
      </c>
      <c r="D6" s="7" t="s">
        <v>187</v>
      </c>
      <c r="E6" s="7" t="s">
        <v>13</v>
      </c>
    </row>
    <row r="7" spans="1:10" x14ac:dyDescent="0.2">
      <c r="A7" s="7">
        <v>1</v>
      </c>
      <c r="B7" s="7" t="s">
        <v>14</v>
      </c>
      <c r="C7" s="7" t="str">
        <f>CONCATENATE(REPT("     ",CPS.Thermostat!A7)," ",CPS.Thermostat!B7)</f>
        <v xml:space="preserve">      communication</v>
      </c>
      <c r="D7" s="7" t="s">
        <v>187</v>
      </c>
      <c r="E7" s="7" t="s">
        <v>15</v>
      </c>
    </row>
    <row r="8" spans="1:10" ht="30" x14ac:dyDescent="0.2">
      <c r="A8" s="7">
        <v>2</v>
      </c>
      <c r="B8" s="7" t="s">
        <v>166</v>
      </c>
      <c r="C8" s="7" t="str">
        <f>CONCATENATE(REPT("     ",CPS.Thermostat!A8)," ",CPS.Thermostat!B8)</f>
        <v xml:space="preserve">           Syntactic Interoperability</v>
      </c>
      <c r="D8" s="7" t="s">
        <v>167</v>
      </c>
      <c r="E8" s="7" t="s">
        <v>202</v>
      </c>
    </row>
    <row r="9" spans="1:10" x14ac:dyDescent="0.2">
      <c r="A9" s="7">
        <v>3</v>
      </c>
      <c r="B9" s="7" t="s">
        <v>168</v>
      </c>
      <c r="C9" s="7" t="str">
        <f>CONCATENATE(REPT("     ",CPS.Thermostat!A9)," ",CPS.Thermostat!B9)</f>
        <v xml:space="preserve">                OSI-Application</v>
      </c>
      <c r="D9" s="7" t="s">
        <v>169</v>
      </c>
      <c r="E9" s="7" t="s">
        <v>203</v>
      </c>
    </row>
    <row r="10" spans="1:10" x14ac:dyDescent="0.2">
      <c r="A10" s="7">
        <v>3</v>
      </c>
      <c r="B10" s="7" t="s">
        <v>170</v>
      </c>
      <c r="C10" s="7" t="str">
        <f>CONCATENATE(REPT("     ",CPS.Thermostat!A10)," ",CPS.Thermostat!B10)</f>
        <v xml:space="preserve">                OSI-Presentation</v>
      </c>
      <c r="D10" s="7" t="s">
        <v>171</v>
      </c>
      <c r="E10" s="7" t="s">
        <v>204</v>
      </c>
    </row>
    <row r="11" spans="1:10" ht="30" x14ac:dyDescent="0.2">
      <c r="A11" s="7">
        <v>2</v>
      </c>
      <c r="B11" s="7" t="s">
        <v>172</v>
      </c>
      <c r="C11" s="7" t="str">
        <f>CONCATENATE(REPT("     ",CPS.Thermostat!A11)," ",CPS.Thermostat!B11)</f>
        <v xml:space="preserve">           Network Interoperability</v>
      </c>
      <c r="D11" s="7" t="s">
        <v>173</v>
      </c>
      <c r="E11" s="7" t="s">
        <v>205</v>
      </c>
    </row>
    <row r="12" spans="1:10" x14ac:dyDescent="0.2">
      <c r="A12" s="7">
        <v>3</v>
      </c>
      <c r="B12" s="7" t="s">
        <v>174</v>
      </c>
      <c r="C12" s="7" t="str">
        <f>CONCATENATE(REPT("     ",CPS.Thermostat!A12)," ",CPS.Thermostat!B12)</f>
        <v xml:space="preserve">                OSI-Session</v>
      </c>
      <c r="D12" s="7" t="s">
        <v>175</v>
      </c>
      <c r="E12" s="7" t="s">
        <v>226</v>
      </c>
    </row>
    <row r="13" spans="1:10" x14ac:dyDescent="0.2">
      <c r="A13" s="7">
        <v>3</v>
      </c>
      <c r="B13" s="7" t="s">
        <v>176</v>
      </c>
      <c r="C13" s="7" t="str">
        <f>CONCATENATE(REPT("     ",CPS.Thermostat!A13)," ",CPS.Thermostat!B13)</f>
        <v xml:space="preserve">                OSI-Transport</v>
      </c>
      <c r="D13" s="7" t="s">
        <v>177</v>
      </c>
      <c r="E13" s="7" t="s">
        <v>206</v>
      </c>
    </row>
    <row r="14" spans="1:10" x14ac:dyDescent="0.2">
      <c r="A14" s="7">
        <v>3</v>
      </c>
      <c r="B14" s="7" t="s">
        <v>178</v>
      </c>
      <c r="C14" s="7" t="str">
        <f>CONCATENATE(REPT("     ",CPS.Thermostat!A14)," ",CPS.Thermostat!B14)</f>
        <v xml:space="preserve">                OSI-Network</v>
      </c>
      <c r="D14" s="7" t="s">
        <v>179</v>
      </c>
      <c r="E14" s="7" t="s">
        <v>207</v>
      </c>
    </row>
    <row r="15" spans="1:10" x14ac:dyDescent="0.2">
      <c r="A15" s="7">
        <v>2</v>
      </c>
      <c r="B15" s="7" t="s">
        <v>180</v>
      </c>
      <c r="C15" s="7" t="str">
        <f>CONCATENATE(REPT("     ",CPS.Thermostat!A15)," ",CPS.Thermostat!B15)</f>
        <v xml:space="preserve">           Basic Connectivity</v>
      </c>
      <c r="D15" s="7" t="s">
        <v>181</v>
      </c>
      <c r="E15" s="7" t="s">
        <v>208</v>
      </c>
    </row>
    <row r="16" spans="1:10" x14ac:dyDescent="0.2">
      <c r="A16" s="7">
        <v>3</v>
      </c>
      <c r="B16" s="7" t="s">
        <v>182</v>
      </c>
      <c r="C16" s="7" t="str">
        <f>CONCATENATE(REPT("     ",CPS.Thermostat!A16)," ",CPS.Thermostat!B16)</f>
        <v xml:space="preserve">                OSI-Data Link</v>
      </c>
      <c r="D16" s="7" t="s">
        <v>183</v>
      </c>
      <c r="E16" s="7" t="s">
        <v>209</v>
      </c>
    </row>
    <row r="17" spans="1:5" x14ac:dyDescent="0.2">
      <c r="A17" s="7">
        <v>3</v>
      </c>
      <c r="B17" s="7" t="s">
        <v>184</v>
      </c>
      <c r="C17" s="7" t="str">
        <f>CONCATENATE(REPT("     ",CPS.Thermostat!A17)," ",CPS.Thermostat!B17)</f>
        <v xml:space="preserve">                OSI-Physical</v>
      </c>
      <c r="D17" s="7" t="s">
        <v>185</v>
      </c>
      <c r="E17" s="7" t="s">
        <v>210</v>
      </c>
    </row>
    <row r="18" spans="1:5" ht="45" x14ac:dyDescent="0.2">
      <c r="A18" s="7">
        <v>1</v>
      </c>
      <c r="B18" s="7" t="s">
        <v>16</v>
      </c>
      <c r="C18" s="7" t="str">
        <f>CONCATENATE(REPT("     ",CPS.Thermostat!A18)," ",CPS.Thermostat!B18)</f>
        <v xml:space="preserve">      controllability</v>
      </c>
      <c r="D18" s="7" t="s">
        <v>187</v>
      </c>
      <c r="E18" s="7" t="s">
        <v>17</v>
      </c>
    </row>
    <row r="19" spans="1:5" x14ac:dyDescent="0.2">
      <c r="A19" s="7">
        <v>1</v>
      </c>
      <c r="B19" s="7" t="s">
        <v>18</v>
      </c>
      <c r="C19" s="7" t="str">
        <f>CONCATENATE(REPT("     ",CPS.Thermostat!A19)," ",CPS.Thermostat!B19)</f>
        <v xml:space="preserve">      functionality</v>
      </c>
      <c r="D19" s="7" t="s">
        <v>187</v>
      </c>
      <c r="E19" s="7" t="s">
        <v>19</v>
      </c>
    </row>
    <row r="20" spans="1:5" x14ac:dyDescent="0.2">
      <c r="A20" s="7">
        <v>1</v>
      </c>
      <c r="B20" s="7" t="s">
        <v>20</v>
      </c>
      <c r="C20" s="7" t="str">
        <f>CONCATENATE(REPT("     ",CPS.Thermostat!A20)," ",CPS.Thermostat!B20)</f>
        <v xml:space="preserve">      measurability</v>
      </c>
      <c r="D20" s="7" t="s">
        <v>187</v>
      </c>
      <c r="E20" s="7" t="s">
        <v>21</v>
      </c>
    </row>
    <row r="21" spans="1:5" ht="30" x14ac:dyDescent="0.2">
      <c r="A21" s="7">
        <v>1</v>
      </c>
      <c r="B21" s="7" t="s">
        <v>22</v>
      </c>
      <c r="C21" s="7" t="str">
        <f>CONCATENATE(REPT("     ",CPS.Thermostat!A21)," ",CPS.Thermostat!B21)</f>
        <v xml:space="preserve">      monitorability</v>
      </c>
      <c r="D21" s="7" t="s">
        <v>187</v>
      </c>
      <c r="E21" s="7" t="s">
        <v>23</v>
      </c>
    </row>
    <row r="22" spans="1:5" x14ac:dyDescent="0.2">
      <c r="A22" s="7">
        <v>1</v>
      </c>
      <c r="B22" s="7" t="s">
        <v>24</v>
      </c>
      <c r="C22" s="7" t="str">
        <f>CONCATENATE(REPT("     ",CPS.Thermostat!A22)," ",CPS.Thermostat!B22)</f>
        <v xml:space="preserve">      performance</v>
      </c>
      <c r="D22" s="7" t="s">
        <v>187</v>
      </c>
      <c r="E22" s="7" t="s">
        <v>25</v>
      </c>
    </row>
    <row r="23" spans="1:5" x14ac:dyDescent="0.2">
      <c r="A23" s="7">
        <v>1</v>
      </c>
      <c r="B23" s="7" t="s">
        <v>26</v>
      </c>
      <c r="C23" s="7" t="str">
        <f>CONCATENATE(REPT("     ",CPS.Thermostat!A23)," ",CPS.Thermostat!B23)</f>
        <v xml:space="preserve">      physical</v>
      </c>
      <c r="D23" s="7" t="s">
        <v>187</v>
      </c>
      <c r="E23" s="7" t="s">
        <v>27</v>
      </c>
    </row>
    <row r="24" spans="1:5" ht="45" x14ac:dyDescent="0.2">
      <c r="A24" s="7">
        <v>1</v>
      </c>
      <c r="B24" s="7" t="s">
        <v>28</v>
      </c>
      <c r="C24" s="7" t="str">
        <f>CONCATENATE(REPT("     ",CPS.Thermostat!A24)," ",CPS.Thermostat!B24)</f>
        <v xml:space="preserve">      physical context</v>
      </c>
      <c r="D24" s="7" t="s">
        <v>187</v>
      </c>
      <c r="E24" s="7" t="s">
        <v>29</v>
      </c>
    </row>
    <row r="25" spans="1:5" x14ac:dyDescent="0.2">
      <c r="A25" s="7">
        <v>1</v>
      </c>
      <c r="B25" s="7" t="s">
        <v>30</v>
      </c>
      <c r="C25" s="7" t="str">
        <f>CONCATENATE(REPT("     ",CPS.Thermostat!A25)," ",CPS.Thermostat!B25)</f>
        <v xml:space="preserve">      sensing</v>
      </c>
      <c r="D25" s="7" t="s">
        <v>187</v>
      </c>
      <c r="E25" s="7" t="s">
        <v>31</v>
      </c>
    </row>
    <row r="26" spans="1:5" ht="90" x14ac:dyDescent="0.2">
      <c r="A26" s="7">
        <v>1</v>
      </c>
      <c r="B26" s="7" t="s">
        <v>32</v>
      </c>
      <c r="C26" s="7" t="str">
        <f>CONCATENATE(REPT("     ",CPS.Thermostat!A26)," ",CPS.Thermostat!B26)</f>
        <v xml:space="preserve">      uncertainty</v>
      </c>
      <c r="D26" s="7" t="s">
        <v>187</v>
      </c>
      <c r="E26" s="7" t="s">
        <v>33</v>
      </c>
    </row>
    <row r="27" spans="1:5" x14ac:dyDescent="0.2">
      <c r="A27" s="7">
        <v>1</v>
      </c>
      <c r="B27" s="7" t="s">
        <v>188</v>
      </c>
      <c r="C27" s="7" t="str">
        <f>CONCATENATE(REPT("     ",CPS.Thermostat!A27)," ",CPS.Thermostat!B27)</f>
        <v xml:space="preserve">      statesAndModes</v>
      </c>
      <c r="D27" s="7" t="s">
        <v>189</v>
      </c>
      <c r="E27" s="7" t="s">
        <v>224</v>
      </c>
    </row>
    <row r="28" spans="1:5" x14ac:dyDescent="0.2">
      <c r="A28" s="7">
        <v>1</v>
      </c>
      <c r="B28" s="7" t="s">
        <v>222</v>
      </c>
      <c r="C28" s="7" t="str">
        <f>CONCATENATE(REPT("     ",CPS.Thermostat!A28)," ",CPS.Thermostat!B28)</f>
        <v xml:space="preserve">      manageability</v>
      </c>
      <c r="D28" s="7"/>
      <c r="E28" s="7" t="s">
        <v>223</v>
      </c>
    </row>
    <row r="29" spans="1:5" ht="44" customHeight="1" x14ac:dyDescent="0.2">
      <c r="A29" s="7">
        <v>2</v>
      </c>
      <c r="B29" s="7" t="s">
        <v>194</v>
      </c>
      <c r="C29" s="7" t="str">
        <f>CONCATENATE(REPT("     ",CPS.Thermostat!A29)," ",CPS.Thermostat!B29)</f>
        <v xml:space="preserve">           configurationManagement</v>
      </c>
      <c r="D29" s="7" t="s">
        <v>190</v>
      </c>
      <c r="E29" s="7" t="s">
        <v>227</v>
      </c>
    </row>
    <row r="30" spans="1:5" ht="30" x14ac:dyDescent="0.2">
      <c r="A30" s="7">
        <v>2</v>
      </c>
      <c r="B30" s="7" t="s">
        <v>195</v>
      </c>
      <c r="C30" s="7" t="str">
        <f>CONCATENATE(REPT("     ",CPS.Thermostat!A30)," ",CPS.Thermostat!B30)</f>
        <v xml:space="preserve">           configurationForLeastFFunctionality</v>
      </c>
      <c r="D30" s="7" t="s">
        <v>191</v>
      </c>
      <c r="E30" s="7" t="s">
        <v>212</v>
      </c>
    </row>
    <row r="31" spans="1:5" ht="30" x14ac:dyDescent="0.2">
      <c r="A31" s="7">
        <v>2</v>
      </c>
      <c r="B31" s="7" t="s">
        <v>192</v>
      </c>
      <c r="C31" s="7" t="str">
        <f>CONCATENATE(REPT("     ",CPS.Thermostat!A31)," ",CPS.Thermostat!B31)</f>
        <v xml:space="preserve">           Component Inventory</v>
      </c>
      <c r="D31" s="7" t="s">
        <v>193</v>
      </c>
      <c r="E31" s="7" t="s">
        <v>213</v>
      </c>
    </row>
    <row r="32" spans="1:5" x14ac:dyDescent="0.2">
      <c r="A32" s="5">
        <v>0</v>
      </c>
      <c r="B32" s="5" t="s">
        <v>4</v>
      </c>
      <c r="C32" s="5" t="str">
        <f>CONCATENATE(REPT("     ",CPS.Thermostat!A32)," ",CPS.Thermostat!B32)</f>
        <v xml:space="preserve"> Business</v>
      </c>
      <c r="D32" s="5" t="s">
        <v>187</v>
      </c>
      <c r="E32" s="6" t="s">
        <v>116</v>
      </c>
    </row>
    <row r="33" spans="1:5" x14ac:dyDescent="0.2">
      <c r="A33" s="7">
        <v>1</v>
      </c>
      <c r="B33" s="7" t="s">
        <v>34</v>
      </c>
      <c r="C33" s="7" t="str">
        <f>CONCATENATE(REPT("     ",CPS.Thermostat!A33)," ",CPS.Thermostat!B33)</f>
        <v xml:space="preserve">      enterprise</v>
      </c>
      <c r="D33" s="7" t="s">
        <v>187</v>
      </c>
      <c r="E33" s="7" t="s">
        <v>35</v>
      </c>
    </row>
    <row r="34" spans="1:5" x14ac:dyDescent="0.2">
      <c r="A34" s="7">
        <v>1</v>
      </c>
      <c r="B34" s="7" t="s">
        <v>2</v>
      </c>
      <c r="C34" s="7" t="str">
        <f>CONCATENATE(REPT("     ",CPS.Thermostat!A34)," ",CPS.Thermostat!B34)</f>
        <v xml:space="preserve">      cost</v>
      </c>
      <c r="D34" s="7" t="s">
        <v>187</v>
      </c>
      <c r="E34" s="7" t="s">
        <v>36</v>
      </c>
    </row>
    <row r="35" spans="1:5" x14ac:dyDescent="0.2">
      <c r="A35" s="7">
        <v>1</v>
      </c>
      <c r="B35" s="7" t="s">
        <v>37</v>
      </c>
      <c r="C35" s="7" t="str">
        <f>CONCATENATE(REPT("     ",CPS.Thermostat!A35)," ",CPS.Thermostat!B35)</f>
        <v xml:space="preserve">      environment</v>
      </c>
      <c r="D35" s="7" t="s">
        <v>187</v>
      </c>
      <c r="E35" s="7" t="s">
        <v>197</v>
      </c>
    </row>
    <row r="36" spans="1:5" x14ac:dyDescent="0.2">
      <c r="A36" s="7">
        <v>1</v>
      </c>
      <c r="B36" s="7" t="s">
        <v>38</v>
      </c>
      <c r="C36" s="7" t="str">
        <f>CONCATENATE(REPT("     ",CPS.Thermostat!A36)," ",CPS.Thermostat!B36)</f>
        <v xml:space="preserve">      policy</v>
      </c>
      <c r="D36" s="7" t="s">
        <v>187</v>
      </c>
      <c r="E36" s="7" t="s">
        <v>39</v>
      </c>
    </row>
    <row r="37" spans="1:5" x14ac:dyDescent="0.2">
      <c r="A37" s="7">
        <v>1</v>
      </c>
      <c r="B37" s="7" t="s">
        <v>40</v>
      </c>
      <c r="C37" s="7" t="str">
        <f>CONCATENATE(REPT("     ",CPS.Thermostat!A37)," ",CPS.Thermostat!B37)</f>
        <v xml:space="preserve">      quality</v>
      </c>
      <c r="D37" s="7" t="s">
        <v>187</v>
      </c>
      <c r="E37" s="7" t="s">
        <v>41</v>
      </c>
    </row>
    <row r="38" spans="1:5" x14ac:dyDescent="0.2">
      <c r="A38" s="7">
        <v>1</v>
      </c>
      <c r="B38" s="7" t="s">
        <v>42</v>
      </c>
      <c r="C38" s="7" t="str">
        <f>CONCATENATE(REPT("     ",CPS.Thermostat!A38)," ",CPS.Thermostat!B38)</f>
        <v xml:space="preserve">      regulatory</v>
      </c>
      <c r="D38" s="7" t="s">
        <v>187</v>
      </c>
      <c r="E38" s="7" t="s">
        <v>43</v>
      </c>
    </row>
    <row r="39" spans="1:5" x14ac:dyDescent="0.2">
      <c r="A39" s="7">
        <v>1</v>
      </c>
      <c r="B39" s="7" t="s">
        <v>44</v>
      </c>
      <c r="C39" s="7" t="str">
        <f>CONCATENATE(REPT("     ",CPS.Thermostat!A39)," ",CPS.Thermostat!B39)</f>
        <v xml:space="preserve">      time to market</v>
      </c>
      <c r="D39" s="7" t="s">
        <v>187</v>
      </c>
      <c r="E39" s="7" t="s">
        <v>45</v>
      </c>
    </row>
    <row r="40" spans="1:5" ht="30" x14ac:dyDescent="0.2">
      <c r="A40" s="7">
        <v>1</v>
      </c>
      <c r="B40" s="7" t="s">
        <v>46</v>
      </c>
      <c r="C40" s="7" t="str">
        <f>CONCATENATE(REPT("     ",CPS.Thermostat!A40)," ",CPS.Thermostat!B40)</f>
        <v xml:space="preserve">      utility</v>
      </c>
      <c r="D40" s="7" t="s">
        <v>187</v>
      </c>
      <c r="E40" s="7" t="s">
        <v>47</v>
      </c>
    </row>
    <row r="41" spans="1:5" x14ac:dyDescent="0.2">
      <c r="A41" s="7">
        <v>1</v>
      </c>
      <c r="B41" s="7" t="s">
        <v>196</v>
      </c>
      <c r="C41" s="7" t="str">
        <f>CONCATENATE(REPT("     ",CPS.Thermostat!A41)," ",CPS.Thermostat!B41)</f>
        <v xml:space="preserve">      Planning</v>
      </c>
      <c r="D41" s="7"/>
      <c r="E41" s="7" t="s">
        <v>211</v>
      </c>
    </row>
    <row r="42" spans="1:5" x14ac:dyDescent="0.2">
      <c r="A42" s="5">
        <v>0</v>
      </c>
      <c r="B42" s="5" t="s">
        <v>5</v>
      </c>
      <c r="C42" s="5" t="str">
        <f>CONCATENATE(REPT("     ",CPS.Thermostat!A42)," ",CPS.Thermostat!B42)</f>
        <v xml:space="preserve"> Human</v>
      </c>
      <c r="D42" s="5" t="s">
        <v>187</v>
      </c>
      <c r="E42" s="6" t="s">
        <v>117</v>
      </c>
    </row>
    <row r="43" spans="1:5" x14ac:dyDescent="0.2">
      <c r="A43" s="7">
        <v>1</v>
      </c>
      <c r="B43" s="7" t="s">
        <v>48</v>
      </c>
      <c r="C43" s="7" t="str">
        <f>CONCATENATE(REPT("     ",CPS.Thermostat!A43)," ",CPS.Thermostat!B43)</f>
        <v xml:space="preserve">      human factors</v>
      </c>
      <c r="D43" s="7" t="s">
        <v>187</v>
      </c>
      <c r="E43" s="7" t="s">
        <v>49</v>
      </c>
    </row>
    <row r="44" spans="1:5" ht="45" x14ac:dyDescent="0.2">
      <c r="A44" s="7">
        <v>1</v>
      </c>
      <c r="B44" s="7" t="s">
        <v>50</v>
      </c>
      <c r="C44" s="7" t="str">
        <f>CONCATENATE(REPT("     ",CPS.Thermostat!A44)," ",CPS.Thermostat!B44)</f>
        <v xml:space="preserve">      usability</v>
      </c>
      <c r="D44" s="7" t="s">
        <v>187</v>
      </c>
      <c r="E44" s="7" t="s">
        <v>51</v>
      </c>
    </row>
    <row r="45" spans="1:5" x14ac:dyDescent="0.2">
      <c r="A45" s="5">
        <v>0</v>
      </c>
      <c r="B45" s="5" t="s">
        <v>6</v>
      </c>
      <c r="C45" s="5" t="str">
        <f>CONCATENATE(REPT("     ",CPS.Thermostat!A45)," ",CPS.Thermostat!B45)</f>
        <v xml:space="preserve"> Trustworthiness</v>
      </c>
      <c r="D45" s="5" t="s">
        <v>187</v>
      </c>
      <c r="E45" s="6" t="s">
        <v>118</v>
      </c>
    </row>
    <row r="46" spans="1:5" ht="75" x14ac:dyDescent="0.2">
      <c r="A46" s="7">
        <v>1</v>
      </c>
      <c r="B46" s="7" t="s">
        <v>52</v>
      </c>
      <c r="C46" s="7" t="str">
        <f>CONCATENATE(REPT("     ",CPS.Thermostat!A46)," ",CPS.Thermostat!B46)</f>
        <v xml:space="preserve">      privacy</v>
      </c>
      <c r="D46" s="7" t="s">
        <v>187</v>
      </c>
      <c r="E46" s="7" t="s">
        <v>53</v>
      </c>
    </row>
    <row r="47" spans="1:5" x14ac:dyDescent="0.2">
      <c r="A47" s="7">
        <v>1</v>
      </c>
      <c r="B47" s="7" t="s">
        <v>54</v>
      </c>
      <c r="C47" s="7" t="str">
        <f>CONCATENATE(REPT("     ",CPS.Thermostat!A47)," ",CPS.Thermostat!B47)</f>
        <v xml:space="preserve">      reliability</v>
      </c>
      <c r="D47" s="7" t="s">
        <v>187</v>
      </c>
      <c r="E47" s="7" t="s">
        <v>55</v>
      </c>
    </row>
    <row r="48" spans="1:5" ht="30" x14ac:dyDescent="0.2">
      <c r="A48" s="7">
        <v>1</v>
      </c>
      <c r="B48" s="7" t="s">
        <v>56</v>
      </c>
      <c r="C48" s="7" t="str">
        <f>CONCATENATE(REPT("     ",CPS.Thermostat!A48)," ",CPS.Thermostat!B48)</f>
        <v xml:space="preserve">      resilience</v>
      </c>
      <c r="D48" s="7" t="s">
        <v>187</v>
      </c>
      <c r="E48" s="7" t="s">
        <v>57</v>
      </c>
    </row>
    <row r="49" spans="1:5" ht="30" x14ac:dyDescent="0.2">
      <c r="A49" s="7">
        <v>1</v>
      </c>
      <c r="B49" s="7" t="s">
        <v>58</v>
      </c>
      <c r="C49" s="7" t="str">
        <f>CONCATENATE(REPT("     ",CPS.Thermostat!A49)," ",CPS.Thermostat!B49)</f>
        <v xml:space="preserve">      safety</v>
      </c>
      <c r="D49" s="7" t="s">
        <v>187</v>
      </c>
      <c r="E49" s="7" t="s">
        <v>59</v>
      </c>
    </row>
    <row r="50" spans="1:5" ht="75" x14ac:dyDescent="0.2">
      <c r="A50" s="7">
        <v>1</v>
      </c>
      <c r="B50" s="7" t="s">
        <v>60</v>
      </c>
      <c r="C50" s="7" t="str">
        <f>CONCATENATE(REPT("     ",CPS.Thermostat!A50)," ",CPS.Thermostat!B50)</f>
        <v xml:space="preserve">      security</v>
      </c>
      <c r="D50" s="7" t="s">
        <v>187</v>
      </c>
      <c r="E50" s="7" t="s">
        <v>113</v>
      </c>
    </row>
    <row r="51" spans="1:5" x14ac:dyDescent="0.2">
      <c r="A51" s="7">
        <v>2</v>
      </c>
      <c r="B51" s="7" t="s">
        <v>108</v>
      </c>
      <c r="C51" s="7" t="str">
        <f>CONCATENATE(REPT("     ",CPS.Thermostat!A51)," ",CPS.Thermostat!B51)</f>
        <v xml:space="preserve">           cybersecurity</v>
      </c>
      <c r="D51" s="7" t="s">
        <v>187</v>
      </c>
      <c r="E51" s="7" t="s">
        <v>228</v>
      </c>
    </row>
    <row r="52" spans="1:5" x14ac:dyDescent="0.2">
      <c r="A52" s="7">
        <v>3</v>
      </c>
      <c r="B52" s="7" t="s">
        <v>107</v>
      </c>
      <c r="C52" s="7" t="str">
        <f>CONCATENATE(REPT("     ",CPS.Thermostat!A52)," ",CPS.Thermostat!B52)</f>
        <v xml:space="preserve">                confidentiality</v>
      </c>
      <c r="D52" s="7" t="s">
        <v>187</v>
      </c>
      <c r="E52" s="7" t="s">
        <v>112</v>
      </c>
    </row>
    <row r="53" spans="1:5" x14ac:dyDescent="0.2">
      <c r="A53" s="7">
        <v>3</v>
      </c>
      <c r="B53" s="7" t="s">
        <v>110</v>
      </c>
      <c r="C53" s="7" t="str">
        <f>CONCATENATE(REPT("     ",CPS.Thermostat!A53)," ",CPS.Thermostat!B53)</f>
        <v xml:space="preserve">                integrity</v>
      </c>
      <c r="D53" s="7" t="s">
        <v>187</v>
      </c>
      <c r="E53" s="7" t="s">
        <v>215</v>
      </c>
    </row>
    <row r="54" spans="1:5" x14ac:dyDescent="0.2">
      <c r="A54" s="7">
        <v>3</v>
      </c>
      <c r="B54" s="7" t="s">
        <v>111</v>
      </c>
      <c r="C54" s="7" t="str">
        <f>CONCATENATE(REPT("     ",CPS.Thermostat!A54)," ",CPS.Thermostat!B54)</f>
        <v xml:space="preserve">                availability</v>
      </c>
      <c r="D54" s="7" t="s">
        <v>187</v>
      </c>
      <c r="E54" s="7" t="s">
        <v>114</v>
      </c>
    </row>
    <row r="55" spans="1:5" x14ac:dyDescent="0.2">
      <c r="A55" s="7">
        <v>2</v>
      </c>
      <c r="B55" s="7" t="s">
        <v>109</v>
      </c>
      <c r="C55" s="7" t="str">
        <f>CONCATENATE(REPT("     ",CPS.Thermostat!A55)," ",CPS.Thermostat!B55)</f>
        <v xml:space="preserve">           physicalsecurity</v>
      </c>
      <c r="D55" s="7" t="s">
        <v>187</v>
      </c>
      <c r="E55" s="7" t="s">
        <v>214</v>
      </c>
    </row>
    <row r="56" spans="1:5" ht="30" x14ac:dyDescent="0.2">
      <c r="A56" s="5">
        <v>0</v>
      </c>
      <c r="B56" s="5" t="s">
        <v>7</v>
      </c>
      <c r="C56" s="5" t="str">
        <f>CONCATENATE(REPT("     ",CPS.Thermostat!A56)," ",CPS.Thermostat!B56)</f>
        <v xml:space="preserve"> Timing</v>
      </c>
      <c r="D56" s="5" t="s">
        <v>187</v>
      </c>
      <c r="E56" s="6" t="s">
        <v>119</v>
      </c>
    </row>
    <row r="57" spans="1:5" x14ac:dyDescent="0.2">
      <c r="A57" s="7">
        <v>1</v>
      </c>
      <c r="B57" s="7" t="s">
        <v>61</v>
      </c>
      <c r="C57" s="7" t="str">
        <f>CONCATENATE(REPT("     ",CPS.Thermostat!A57)," ",CPS.Thermostat!B57)</f>
        <v xml:space="preserve">      logical time</v>
      </c>
      <c r="D57" s="7" t="s">
        <v>187</v>
      </c>
      <c r="E57" s="7" t="s">
        <v>62</v>
      </c>
    </row>
    <row r="58" spans="1:5" ht="60" x14ac:dyDescent="0.2">
      <c r="A58" s="7">
        <v>1</v>
      </c>
      <c r="B58" s="7" t="s">
        <v>63</v>
      </c>
      <c r="C58" s="7" t="str">
        <f>CONCATENATE(REPT("     ",CPS.Thermostat!A58)," ",CPS.Thermostat!B58)</f>
        <v xml:space="preserve">      managing timing and latency</v>
      </c>
      <c r="D58" s="7" t="s">
        <v>187</v>
      </c>
      <c r="E58" s="7" t="s">
        <v>64</v>
      </c>
    </row>
    <row r="59" spans="1:5" ht="30" x14ac:dyDescent="0.2">
      <c r="A59" s="7">
        <v>1</v>
      </c>
      <c r="B59" s="7" t="s">
        <v>65</v>
      </c>
      <c r="C59" s="7" t="str">
        <f>CONCATENATE(REPT("     ",CPS.Thermostat!A59)," ",CPS.Thermostat!B59)</f>
        <v xml:space="preserve">      synchronization</v>
      </c>
      <c r="D59" s="7" t="s">
        <v>187</v>
      </c>
      <c r="E59" s="7" t="s">
        <v>66</v>
      </c>
    </row>
    <row r="60" spans="1:5" ht="30" x14ac:dyDescent="0.2">
      <c r="A60" s="7">
        <v>1</v>
      </c>
      <c r="B60" s="7" t="s">
        <v>67</v>
      </c>
      <c r="C60" s="7" t="str">
        <f>CONCATENATE(REPT("     ",CPS.Thermostat!A60)," ",CPS.Thermostat!B60)</f>
        <v xml:space="preserve">      time awareness</v>
      </c>
      <c r="D60" s="7" t="s">
        <v>187</v>
      </c>
      <c r="E60" s="7" t="s">
        <v>68</v>
      </c>
    </row>
    <row r="61" spans="1:5" ht="45" x14ac:dyDescent="0.2">
      <c r="A61" s="7">
        <v>1</v>
      </c>
      <c r="B61" s="7" t="s">
        <v>69</v>
      </c>
      <c r="C61" s="7" t="str">
        <f>CONCATENATE(REPT("     ",CPS.Thermostat!A61)," ",CPS.Thermostat!B61)</f>
        <v xml:space="preserve">      time-interval and latency control</v>
      </c>
      <c r="D61" s="7" t="s">
        <v>187</v>
      </c>
      <c r="E61" s="7" t="s">
        <v>70</v>
      </c>
    </row>
    <row r="62" spans="1:5" x14ac:dyDescent="0.2">
      <c r="A62" s="5">
        <v>0</v>
      </c>
      <c r="B62" s="5" t="s">
        <v>8</v>
      </c>
      <c r="C62" s="5" t="str">
        <f>CONCATENATE(REPT("     ",CPS.Thermostat!A62)," ",CPS.Thermostat!B62)</f>
        <v xml:space="preserve"> Data</v>
      </c>
      <c r="D62" s="5" t="s">
        <v>187</v>
      </c>
      <c r="E62" s="6" t="s">
        <v>120</v>
      </c>
    </row>
    <row r="63" spans="1:5" x14ac:dyDescent="0.2">
      <c r="A63" s="7">
        <v>1</v>
      </c>
      <c r="B63" s="7" t="s">
        <v>71</v>
      </c>
      <c r="C63" s="7" t="str">
        <f>CONCATENATE(REPT("     ",CPS.Thermostat!A63)," ",CPS.Thermostat!B63)</f>
        <v xml:space="preserve">      data semantics</v>
      </c>
      <c r="D63" s="7" t="s">
        <v>187</v>
      </c>
      <c r="E63" s="7" t="s">
        <v>72</v>
      </c>
    </row>
    <row r="64" spans="1:5" x14ac:dyDescent="0.2">
      <c r="A64" s="7">
        <v>2</v>
      </c>
      <c r="B64" s="7" t="s">
        <v>134</v>
      </c>
      <c r="C64" s="7" t="str">
        <f>CONCATENATE(REPT("     ",CPS.Thermostat!A64)," ",CPS.Thermostat!B64)</f>
        <v xml:space="preserve">           data models</v>
      </c>
      <c r="D64" s="7" t="s">
        <v>187</v>
      </c>
      <c r="E64" s="7" t="s">
        <v>141</v>
      </c>
    </row>
    <row r="65" spans="1:5" x14ac:dyDescent="0.2">
      <c r="A65" s="7">
        <v>2</v>
      </c>
      <c r="B65" s="7" t="s">
        <v>135</v>
      </c>
      <c r="C65" s="7" t="str">
        <f>CONCATENATE(REPT("     ",CPS.Thermostat!A65)," ",CPS.Thermostat!B65)</f>
        <v xml:space="preserve">           granularity</v>
      </c>
      <c r="D65" s="7" t="s">
        <v>187</v>
      </c>
      <c r="E65" s="7" t="s">
        <v>148</v>
      </c>
    </row>
    <row r="66" spans="1:5" x14ac:dyDescent="0.2">
      <c r="A66" s="7">
        <v>2</v>
      </c>
      <c r="B66" s="7" t="s">
        <v>136</v>
      </c>
      <c r="C66" s="7" t="str">
        <f>CONCATENATE(REPT("     ",CPS.Thermostat!A66)," ",CPS.Thermostat!B66)</f>
        <v xml:space="preserve">           meaning</v>
      </c>
      <c r="D66" s="7" t="s">
        <v>187</v>
      </c>
      <c r="E66" s="7" t="s">
        <v>149</v>
      </c>
    </row>
    <row r="67" spans="1:5" ht="30" x14ac:dyDescent="0.2">
      <c r="A67" s="7">
        <v>1</v>
      </c>
      <c r="B67" s="7" t="s">
        <v>73</v>
      </c>
      <c r="C67" s="7" t="str">
        <f>CONCATENATE(REPT("     ",CPS.Thermostat!A67)," ",CPS.Thermostat!B67)</f>
        <v xml:space="preserve">      identity</v>
      </c>
      <c r="D67" s="7" t="s">
        <v>187</v>
      </c>
      <c r="E67" s="7" t="s">
        <v>74</v>
      </c>
    </row>
    <row r="68" spans="1:5" ht="30" x14ac:dyDescent="0.2">
      <c r="A68" s="7">
        <v>2</v>
      </c>
      <c r="B68" s="7" t="s">
        <v>216</v>
      </c>
      <c r="C68" s="7" t="str">
        <f>CONCATENATE(REPT("     ",CPS.Thermostat!A68)," ",CPS.Thermostat!B68)</f>
        <v xml:space="preserve">           resourceIdentification</v>
      </c>
      <c r="D68" s="7" t="s">
        <v>198</v>
      </c>
      <c r="E68" s="7" t="s">
        <v>150</v>
      </c>
    </row>
    <row r="69" spans="1:5" x14ac:dyDescent="0.2">
      <c r="A69" s="7">
        <v>3</v>
      </c>
      <c r="B69" s="7" t="s">
        <v>217</v>
      </c>
      <c r="C69" s="7" t="str">
        <f>CONCATENATE(REPT("     ",CPS.Thermostat!A69)," ",CPS.Thermostat!B69)</f>
        <v xml:space="preserve">                userIdentification</v>
      </c>
      <c r="D69" s="7" t="s">
        <v>199</v>
      </c>
      <c r="E69" s="7" t="s">
        <v>229</v>
      </c>
    </row>
    <row r="70" spans="1:5" ht="30" x14ac:dyDescent="0.2">
      <c r="A70" s="7">
        <v>3</v>
      </c>
      <c r="B70" s="7" t="s">
        <v>218</v>
      </c>
      <c r="C70" s="7" t="str">
        <f>CONCATENATE(REPT("     ",CPS.Thermostat!A70)," ",CPS.Thermostat!B70)</f>
        <v xml:space="preserve">                deviceIdentification</v>
      </c>
      <c r="D70" s="7" t="s">
        <v>200</v>
      </c>
      <c r="E70" s="7" t="s">
        <v>230</v>
      </c>
    </row>
    <row r="71" spans="1:5" ht="30" x14ac:dyDescent="0.2">
      <c r="A71" s="7">
        <v>3</v>
      </c>
      <c r="B71" s="7" t="s">
        <v>219</v>
      </c>
      <c r="C71" s="7" t="str">
        <f>CONCATENATE(REPT("     ",CPS.Thermostat!A71)," ",CPS.Thermostat!B71)</f>
        <v xml:space="preserve">                objectIdentification</v>
      </c>
      <c r="D71" s="7" t="s">
        <v>201</v>
      </c>
      <c r="E71" s="7" t="s">
        <v>231</v>
      </c>
    </row>
    <row r="72" spans="1:5" x14ac:dyDescent="0.2">
      <c r="A72" s="7">
        <v>3</v>
      </c>
      <c r="B72" s="7" t="s">
        <v>220</v>
      </c>
      <c r="C72" s="7" t="str">
        <f>CONCATENATE(REPT("     ",CPS.Thermostat!A72)," ",CPS.Thermostat!B72)</f>
        <v xml:space="preserve">                classIdentification</v>
      </c>
      <c r="D72" s="7"/>
      <c r="E72" s="7" t="s">
        <v>232</v>
      </c>
    </row>
    <row r="73" spans="1:5" x14ac:dyDescent="0.2">
      <c r="A73" s="7">
        <v>2</v>
      </c>
      <c r="B73" s="7" t="s">
        <v>137</v>
      </c>
      <c r="C73" s="7" t="str">
        <f>CONCATENATE(REPT("     ",CPS.Thermostat!A73)," ",CPS.Thermostat!B73)</f>
        <v xml:space="preserve">           authentication</v>
      </c>
      <c r="D73" s="7" t="s">
        <v>187</v>
      </c>
      <c r="E73" s="7" t="s">
        <v>151</v>
      </c>
    </row>
    <row r="74" spans="1:5" x14ac:dyDescent="0.2">
      <c r="A74" s="7">
        <v>2</v>
      </c>
      <c r="B74" s="7" t="s">
        <v>138</v>
      </c>
      <c r="C74" s="7" t="str">
        <f>CONCATENATE(REPT("     ",CPS.Thermostat!A74)," ",CPS.Thermostat!B74)</f>
        <v xml:space="preserve">           authorization</v>
      </c>
      <c r="D74" s="7" t="s">
        <v>187</v>
      </c>
      <c r="E74" s="7" t="s">
        <v>152</v>
      </c>
    </row>
    <row r="75" spans="1:5" x14ac:dyDescent="0.2">
      <c r="A75" s="7">
        <v>2</v>
      </c>
      <c r="B75" s="7" t="s">
        <v>139</v>
      </c>
      <c r="C75" s="7" t="str">
        <f>CONCATENATE(REPT("     ",CPS.Thermostat!A75)," ",CPS.Thermostat!B75)</f>
        <v xml:space="preserve">           verification</v>
      </c>
      <c r="D75" s="7" t="s">
        <v>187</v>
      </c>
      <c r="E75" s="7" t="s">
        <v>153</v>
      </c>
    </row>
    <row r="76" spans="1:5" x14ac:dyDescent="0.2">
      <c r="A76" s="7">
        <v>2</v>
      </c>
      <c r="B76" s="7" t="s">
        <v>110</v>
      </c>
      <c r="C76" s="7" t="str">
        <f>CONCATENATE(REPT("     ",CPS.Thermostat!A76)," ",CPS.Thermostat!B76)</f>
        <v xml:space="preserve">           integrity</v>
      </c>
      <c r="D76" s="7" t="s">
        <v>187</v>
      </c>
      <c r="E76" s="7" t="s">
        <v>154</v>
      </c>
    </row>
    <row r="77" spans="1:5" x14ac:dyDescent="0.2">
      <c r="A77" s="7">
        <v>2</v>
      </c>
      <c r="B77" s="7" t="s">
        <v>221</v>
      </c>
      <c r="C77" s="7" t="str">
        <f>CONCATENATE(REPT("     ",CPS.Thermostat!A77)," ",CPS.Thermostat!B77)</f>
        <v xml:space="preserve">           configuration</v>
      </c>
      <c r="D77" s="7" t="s">
        <v>187</v>
      </c>
      <c r="E77" s="7" t="s">
        <v>155</v>
      </c>
    </row>
    <row r="78" spans="1:5" x14ac:dyDescent="0.2">
      <c r="A78" s="7">
        <v>2</v>
      </c>
      <c r="B78" s="7" t="s">
        <v>140</v>
      </c>
      <c r="C78" s="7" t="str">
        <f>CONCATENATE(REPT("     ",CPS.Thermostat!A78)," ",CPS.Thermostat!B78)</f>
        <v xml:space="preserve">           provenance</v>
      </c>
      <c r="D78" s="7" t="s">
        <v>187</v>
      </c>
      <c r="E78" s="7" t="s">
        <v>156</v>
      </c>
    </row>
    <row r="79" spans="1:5" ht="30" x14ac:dyDescent="0.2">
      <c r="A79" s="7">
        <v>1</v>
      </c>
      <c r="B79" s="7" t="s">
        <v>75</v>
      </c>
      <c r="C79" s="7" t="str">
        <f>CONCATENATE(REPT("     ",CPS.Thermostat!A79)," ",CPS.Thermostat!B79)</f>
        <v xml:space="preserve">      operations on data</v>
      </c>
      <c r="D79" s="7" t="s">
        <v>187</v>
      </c>
      <c r="E79" s="7" t="s">
        <v>76</v>
      </c>
    </row>
    <row r="80" spans="1:5" x14ac:dyDescent="0.2">
      <c r="A80" s="7">
        <v>2</v>
      </c>
      <c r="B80" s="7" t="s">
        <v>130</v>
      </c>
      <c r="C80" s="7" t="str">
        <f>CONCATENATE(REPT("     ",CPS.Thermostat!A80)," ",CPS.Thermostat!B80)</f>
        <v xml:space="preserve">           analytics</v>
      </c>
      <c r="D80" s="7" t="s">
        <v>187</v>
      </c>
      <c r="E80" s="7" t="s">
        <v>130</v>
      </c>
    </row>
    <row r="81" spans="1:5" x14ac:dyDescent="0.2">
      <c r="A81" s="7">
        <v>2</v>
      </c>
      <c r="B81" s="7" t="s">
        <v>125</v>
      </c>
      <c r="C81" s="7" t="str">
        <f>CONCATENATE(REPT("     ",CPS.Thermostat!A81)," ",CPS.Thermostat!B81)</f>
        <v xml:space="preserve">           fusion</v>
      </c>
      <c r="D81" s="7" t="s">
        <v>187</v>
      </c>
      <c r="E81" s="7" t="s">
        <v>127</v>
      </c>
    </row>
    <row r="82" spans="1:5" x14ac:dyDescent="0.2">
      <c r="A82" s="7">
        <v>2</v>
      </c>
      <c r="B82" s="7" t="s">
        <v>131</v>
      </c>
      <c r="C82" s="7" t="str">
        <f>CONCATENATE(REPT("     ",CPS.Thermostat!A82)," ",CPS.Thermostat!B82)</f>
        <v xml:space="preserve">           storage</v>
      </c>
      <c r="D82" s="7" t="s">
        <v>187</v>
      </c>
      <c r="E82" s="7" t="s">
        <v>128</v>
      </c>
    </row>
    <row r="83" spans="1:5" ht="30" x14ac:dyDescent="0.2">
      <c r="A83" s="7">
        <v>2</v>
      </c>
      <c r="B83" s="7" t="s">
        <v>132</v>
      </c>
      <c r="C83" s="7" t="str">
        <f>CONCATENATE(REPT("     ",CPS.Thermostat!A83)," ",CPS.Thermostat!B83)</f>
        <v xml:space="preserve">           aggregation/disaggregation</v>
      </c>
      <c r="D83" s="7" t="s">
        <v>187</v>
      </c>
      <c r="E83" s="7" t="s">
        <v>158</v>
      </c>
    </row>
    <row r="84" spans="1:5" x14ac:dyDescent="0.2">
      <c r="A84" s="7">
        <v>2</v>
      </c>
      <c r="B84" s="7" t="s">
        <v>133</v>
      </c>
      <c r="C84" s="7" t="str">
        <f>CONCATENATE(REPT("     ",CPS.Thermostat!A84)," ",CPS.Thermostat!B84)</f>
        <v xml:space="preserve">           transformation</v>
      </c>
      <c r="D84" s="7" t="s">
        <v>187</v>
      </c>
      <c r="E84" s="7" t="s">
        <v>157</v>
      </c>
    </row>
    <row r="85" spans="1:5" ht="30" x14ac:dyDescent="0.2">
      <c r="A85" s="7">
        <v>1</v>
      </c>
      <c r="B85" s="7" t="s">
        <v>77</v>
      </c>
      <c r="C85" s="7" t="str">
        <f>CONCATENATE(REPT("     ",CPS.Thermostat!A85)," ",CPS.Thermostat!B85)</f>
        <v xml:space="preserve">      relationship between data</v>
      </c>
      <c r="D85" s="7" t="s">
        <v>187</v>
      </c>
      <c r="E85" s="7" t="s">
        <v>78</v>
      </c>
    </row>
    <row r="86" spans="1:5" x14ac:dyDescent="0.2">
      <c r="A86" s="7">
        <v>2</v>
      </c>
      <c r="B86" s="7" t="s">
        <v>142</v>
      </c>
      <c r="C86" s="7" t="str">
        <f>CONCATENATE(REPT("     ",CPS.Thermostat!A86)," ",CPS.Thermostat!B86)</f>
        <v xml:space="preserve">           time of data</v>
      </c>
      <c r="D86" s="7" t="s">
        <v>187</v>
      </c>
      <c r="E86" s="7" t="s">
        <v>159</v>
      </c>
    </row>
    <row r="87" spans="1:5" ht="45" x14ac:dyDescent="0.2">
      <c r="A87" s="7">
        <v>2</v>
      </c>
      <c r="B87" s="7" t="s">
        <v>143</v>
      </c>
      <c r="C87" s="7" t="str">
        <f>CONCATENATE(REPT("     ",CPS.Thermostat!A87)," ",CPS.Thermostat!B87)</f>
        <v xml:space="preserve">           related data (including metadata)</v>
      </c>
      <c r="D87" s="7" t="s">
        <v>187</v>
      </c>
      <c r="E87" s="7" t="s">
        <v>160</v>
      </c>
    </row>
    <row r="88" spans="1:5" x14ac:dyDescent="0.2">
      <c r="A88" s="7">
        <v>2</v>
      </c>
      <c r="B88" s="7" t="s">
        <v>144</v>
      </c>
      <c r="C88" s="7" t="str">
        <f>CONCATENATE(REPT("     ",CPS.Thermostat!A88)," ",CPS.Thermostat!B88)</f>
        <v xml:space="preserve">           location of data</v>
      </c>
      <c r="D88" s="7" t="s">
        <v>187</v>
      </c>
      <c r="E88" s="7" t="s">
        <v>144</v>
      </c>
    </row>
    <row r="89" spans="1:5" x14ac:dyDescent="0.2">
      <c r="A89" s="7">
        <v>2</v>
      </c>
      <c r="B89" s="7" t="s">
        <v>145</v>
      </c>
      <c r="C89" s="7" t="str">
        <f>CONCATENATE(REPT("     ",CPS.Thermostat!A89)," ",CPS.Thermostat!B89)</f>
        <v xml:space="preserve">           inheritance</v>
      </c>
      <c r="D89" s="7" t="s">
        <v>187</v>
      </c>
      <c r="E89" s="7" t="s">
        <v>161</v>
      </c>
    </row>
    <row r="90" spans="1:5" x14ac:dyDescent="0.2">
      <c r="A90" s="7">
        <v>2</v>
      </c>
      <c r="B90" s="7" t="s">
        <v>146</v>
      </c>
      <c r="C90" s="7" t="str">
        <f>CONCATENATE(REPT("     ",CPS.Thermostat!A90)," ",CPS.Thermostat!B90)</f>
        <v xml:space="preserve">           polymorphism</v>
      </c>
      <c r="D90" s="7" t="s">
        <v>187</v>
      </c>
      <c r="E90" s="7" t="s">
        <v>162</v>
      </c>
    </row>
    <row r="91" spans="1:5" ht="30" x14ac:dyDescent="0.2">
      <c r="A91" s="7">
        <v>2</v>
      </c>
      <c r="B91" s="7" t="s">
        <v>163</v>
      </c>
      <c r="C91" s="7" t="str">
        <f>CONCATENATE(REPT("     ",CPS.Thermostat!A91)," ",CPS.Thermostat!B91)</f>
        <v xml:space="preserve">           directionality of relationships</v>
      </c>
      <c r="D91" s="7" t="s">
        <v>187</v>
      </c>
      <c r="E91" s="7" t="s">
        <v>147</v>
      </c>
    </row>
    <row r="92" spans="1:5" x14ac:dyDescent="0.2">
      <c r="A92" s="7">
        <v>2</v>
      </c>
      <c r="B92" s="7" t="s">
        <v>40</v>
      </c>
      <c r="C92" s="7" t="str">
        <f>CONCATENATE(REPT("     ",CPS.Thermostat!A92)," ",CPS.Thermostat!B92)</f>
        <v xml:space="preserve">           quality</v>
      </c>
      <c r="D92" s="7" t="s">
        <v>187</v>
      </c>
      <c r="E92" s="7" t="s">
        <v>164</v>
      </c>
    </row>
    <row r="93" spans="1:5" x14ac:dyDescent="0.2">
      <c r="A93" s="7">
        <v>1</v>
      </c>
      <c r="B93" s="7" t="s">
        <v>126</v>
      </c>
      <c r="C93" s="7" t="str">
        <f>CONCATENATE(REPT("     ",CPS.Thermostat!A93)," ",CPS.Thermostat!B93)</f>
        <v xml:space="preserve">      velocity</v>
      </c>
      <c r="D93" s="7" t="s">
        <v>187</v>
      </c>
      <c r="E93" s="7" t="s">
        <v>129</v>
      </c>
    </row>
    <row r="94" spans="1:5" ht="13" customHeight="1" x14ac:dyDescent="0.2">
      <c r="A94" s="5">
        <v>0</v>
      </c>
      <c r="B94" s="5" t="s">
        <v>9</v>
      </c>
      <c r="C94" s="5" t="str">
        <f>CONCATENATE(REPT("     ",CPS.Thermostat!A94)," ",CPS.Thermostat!B94)</f>
        <v xml:space="preserve"> Boundaries</v>
      </c>
      <c r="D94" s="5" t="s">
        <v>187</v>
      </c>
      <c r="E94" s="6" t="s">
        <v>121</v>
      </c>
    </row>
    <row r="95" spans="1:5" ht="30" x14ac:dyDescent="0.2">
      <c r="A95" s="7">
        <v>1</v>
      </c>
      <c r="B95" s="7" t="s">
        <v>79</v>
      </c>
      <c r="C95" s="7" t="str">
        <f>CONCATENATE(REPT("     ",CPS.Thermostat!A95)," ",CPS.Thermostat!B95)</f>
        <v xml:space="preserve">      behavioral</v>
      </c>
      <c r="D95" s="7" t="s">
        <v>187</v>
      </c>
      <c r="E95" s="7" t="s">
        <v>80</v>
      </c>
    </row>
    <row r="96" spans="1:5" x14ac:dyDescent="0.2">
      <c r="A96" s="7">
        <v>1</v>
      </c>
      <c r="B96" s="7" t="s">
        <v>81</v>
      </c>
      <c r="C96" s="7" t="str">
        <f>CONCATENATE(REPT("     ",CPS.Thermostat!A96)," ",CPS.Thermostat!B96)</f>
        <v xml:space="preserve">      networkability</v>
      </c>
      <c r="D96" s="7" t="s">
        <v>187</v>
      </c>
      <c r="E96" s="7" t="s">
        <v>82</v>
      </c>
    </row>
    <row r="97" spans="1:5" x14ac:dyDescent="0.2">
      <c r="A97" s="7">
        <v>1</v>
      </c>
      <c r="B97" s="7" t="s">
        <v>83</v>
      </c>
      <c r="C97" s="7" t="str">
        <f>CONCATENATE(REPT("     ",CPS.Thermostat!A97)," ",CPS.Thermostat!B97)</f>
        <v xml:space="preserve">      responsibility</v>
      </c>
      <c r="D97" s="7" t="s">
        <v>187</v>
      </c>
      <c r="E97" s="7" t="s">
        <v>84</v>
      </c>
    </row>
    <row r="98" spans="1:5" ht="45" x14ac:dyDescent="0.2">
      <c r="A98" s="5">
        <v>0</v>
      </c>
      <c r="B98" s="5" t="s">
        <v>10</v>
      </c>
      <c r="C98" s="5" t="str">
        <f>CONCATENATE(REPT("     ",CPS.Thermostat!A98)," ",CPS.Thermostat!B98)</f>
        <v xml:space="preserve"> Composition</v>
      </c>
      <c r="D98" s="5" t="s">
        <v>187</v>
      </c>
      <c r="E98" s="6" t="s">
        <v>122</v>
      </c>
    </row>
    <row r="99" spans="1:5" ht="30" x14ac:dyDescent="0.2">
      <c r="A99" s="7">
        <v>1</v>
      </c>
      <c r="B99" s="7" t="s">
        <v>85</v>
      </c>
      <c r="C99" s="7" t="str">
        <f>CONCATENATE(REPT("     ",CPS.Thermostat!A99)," ",CPS.Thermostat!B99)</f>
        <v xml:space="preserve">      adaptability</v>
      </c>
      <c r="D99" s="7" t="s">
        <v>187</v>
      </c>
      <c r="E99" s="7" t="s">
        <v>86</v>
      </c>
    </row>
    <row r="100" spans="1:5" ht="30" x14ac:dyDescent="0.2">
      <c r="A100" s="7">
        <v>1</v>
      </c>
      <c r="B100" s="7" t="s">
        <v>87</v>
      </c>
      <c r="C100" s="7" t="str">
        <f>CONCATENATE(REPT("     ",CPS.Thermostat!A100)," ",CPS.Thermostat!B100)</f>
        <v xml:space="preserve">      complexity</v>
      </c>
      <c r="D100" s="7" t="s">
        <v>187</v>
      </c>
      <c r="E100" s="7" t="s">
        <v>88</v>
      </c>
    </row>
    <row r="101" spans="1:5" x14ac:dyDescent="0.2">
      <c r="A101" s="7">
        <v>1</v>
      </c>
      <c r="B101" s="7" t="s">
        <v>89</v>
      </c>
      <c r="C101" s="7" t="str">
        <f>CONCATENATE(REPT("     ",CPS.Thermostat!A101)," ",CPS.Thermostat!B101)</f>
        <v xml:space="preserve">      constructivity</v>
      </c>
      <c r="D101" s="7" t="s">
        <v>187</v>
      </c>
      <c r="E101" s="7" t="s">
        <v>90</v>
      </c>
    </row>
    <row r="102" spans="1:5" ht="45" x14ac:dyDescent="0.2">
      <c r="A102" s="7">
        <v>1</v>
      </c>
      <c r="B102" s="7" t="s">
        <v>91</v>
      </c>
      <c r="C102" s="7" t="str">
        <f>CONCATENATE(REPT("     ",CPS.Thermostat!A102)," ",CPS.Thermostat!B102)</f>
        <v xml:space="preserve">      discoverability</v>
      </c>
      <c r="D102" s="7" t="s">
        <v>187</v>
      </c>
      <c r="E102" s="7" t="s">
        <v>92</v>
      </c>
    </row>
    <row r="103" spans="1:5" x14ac:dyDescent="0.2">
      <c r="A103" s="5">
        <v>0</v>
      </c>
      <c r="B103" s="5" t="s">
        <v>11</v>
      </c>
      <c r="C103" s="5" t="str">
        <f>CONCATENATE(REPT("     ",CPS.Thermostat!A103)," ",CPS.Thermostat!B103)</f>
        <v xml:space="preserve"> Lifecycle</v>
      </c>
      <c r="D103" s="5" t="s">
        <v>187</v>
      </c>
      <c r="E103" s="6" t="s">
        <v>123</v>
      </c>
    </row>
    <row r="104" spans="1:5" x14ac:dyDescent="0.2">
      <c r="A104" s="7">
        <v>1</v>
      </c>
      <c r="B104" s="7" t="s">
        <v>93</v>
      </c>
      <c r="C104" s="7" t="str">
        <f>CONCATENATE(REPT("     ",CPS.Thermostat!A104)," ",CPS.Thermostat!B104)</f>
        <v xml:space="preserve">      deployability</v>
      </c>
      <c r="D104" s="7" t="s">
        <v>187</v>
      </c>
      <c r="E104" s="7" t="s">
        <v>94</v>
      </c>
    </row>
    <row r="105" spans="1:5" x14ac:dyDescent="0.2">
      <c r="A105" s="7">
        <v>1</v>
      </c>
      <c r="B105" s="7" t="s">
        <v>95</v>
      </c>
      <c r="C105" s="7" t="str">
        <f>CONCATENATE(REPT("     ",CPS.Thermostat!A105)," ",CPS.Thermostat!B105)</f>
        <v xml:space="preserve">      disposability</v>
      </c>
      <c r="D105" s="7" t="s">
        <v>187</v>
      </c>
      <c r="E105" s="7" t="s">
        <v>96</v>
      </c>
    </row>
    <row r="106" spans="1:5" ht="30" x14ac:dyDescent="0.2">
      <c r="A106" s="7">
        <v>1</v>
      </c>
      <c r="B106" s="7" t="s">
        <v>97</v>
      </c>
      <c r="C106" s="7" t="str">
        <f>CONCATENATE(REPT("     ",CPS.Thermostat!A106)," ",CPS.Thermostat!B106)</f>
        <v xml:space="preserve">      engineerability</v>
      </c>
      <c r="D106" s="7" t="s">
        <v>187</v>
      </c>
      <c r="E106" s="7" t="s">
        <v>98</v>
      </c>
    </row>
    <row r="107" spans="1:5" x14ac:dyDescent="0.2">
      <c r="A107" s="7">
        <v>1</v>
      </c>
      <c r="B107" s="7" t="s">
        <v>99</v>
      </c>
      <c r="C107" s="7" t="str">
        <f>CONCATENATE(REPT("     ",CPS.Thermostat!A107)," ",CPS.Thermostat!B107)</f>
        <v xml:space="preserve">      maintainability</v>
      </c>
      <c r="D107" s="7" t="s">
        <v>187</v>
      </c>
      <c r="E107" s="7" t="s">
        <v>100</v>
      </c>
    </row>
    <row r="108" spans="1:5" x14ac:dyDescent="0.2">
      <c r="A108" s="7">
        <v>1</v>
      </c>
      <c r="B108" s="7" t="s">
        <v>101</v>
      </c>
      <c r="C108" s="7" t="str">
        <f>CONCATENATE(REPT("     ",CPS.Thermostat!A108)," ",CPS.Thermostat!B108)</f>
        <v xml:space="preserve">      operatability</v>
      </c>
      <c r="D108" s="7" t="s">
        <v>187</v>
      </c>
      <c r="E108" s="7" t="s">
        <v>102</v>
      </c>
    </row>
    <row r="109" spans="1:5" x14ac:dyDescent="0.2">
      <c r="A109" s="7">
        <v>1</v>
      </c>
      <c r="B109" s="7" t="s">
        <v>103</v>
      </c>
      <c r="C109" s="7" t="str">
        <f>CONCATENATE(REPT("     ",CPS.Thermostat!A109)," ",CPS.Thermostat!B109)</f>
        <v xml:space="preserve">      procureability</v>
      </c>
      <c r="D109" s="7" t="s">
        <v>187</v>
      </c>
      <c r="E109" s="7" t="s">
        <v>104</v>
      </c>
    </row>
    <row r="110" spans="1:5" x14ac:dyDescent="0.2">
      <c r="A110" s="7">
        <v>1</v>
      </c>
      <c r="B110" s="7" t="s">
        <v>105</v>
      </c>
      <c r="C110" s="7" t="str">
        <f>CONCATENATE(REPT("     ",CPS.Thermostat!A110)," ",CPS.Thermostat!B110)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J110"/>
  <sheetViews>
    <sheetView zoomScale="85" zoomScaleNormal="85" zoomScalePageLayoutView="85" workbookViewId="0">
      <pane ySplit="4" topLeftCell="A5" activePane="bottomLeft" state="frozen"/>
      <selection pane="bottomLeft" activeCell="G29" sqref="G29"/>
    </sheetView>
  </sheetViews>
  <sheetFormatPr baseColWidth="10" defaultColWidth="8.83203125" defaultRowHeight="15" x14ac:dyDescent="0.2"/>
  <cols>
    <col min="1" max="1" width="15.33203125" style="3" customWidth="1"/>
    <col min="2" max="2" width="15.33203125" style="3" hidden="1" customWidth="1"/>
    <col min="3" max="3" width="40.5" style="3" customWidth="1"/>
    <col min="4" max="4" width="40.5" style="3" hidden="1" customWidth="1"/>
    <col min="5" max="5" width="105.83203125" style="3" customWidth="1"/>
    <col min="6" max="7" width="50.33203125" style="3" customWidth="1"/>
    <col min="8" max="8" width="12.6640625" style="3" customWidth="1"/>
    <col min="9" max="9" width="35.5" style="3" customWidth="1"/>
    <col min="10" max="10" width="82.1640625" style="3" customWidth="1"/>
    <col min="11" max="16384" width="8.83203125" style="3"/>
  </cols>
  <sheetData>
    <row r="1" spans="1:10" ht="34" x14ac:dyDescent="0.2">
      <c r="A1" s="8">
        <f ca="1">NOW()</f>
        <v>42636.659261111112</v>
      </c>
      <c r="E1" s="4" t="s">
        <v>124</v>
      </c>
    </row>
    <row r="3" spans="1:10" x14ac:dyDescent="0.2">
      <c r="F3" s="9" t="s">
        <v>238</v>
      </c>
      <c r="G3" s="9"/>
      <c r="H3" s="9"/>
      <c r="I3" s="9"/>
      <c r="J3" s="9"/>
    </row>
    <row r="4" spans="1:10" s="2" customFormat="1" ht="24" x14ac:dyDescent="0.2">
      <c r="A4" s="1" t="s">
        <v>0</v>
      </c>
      <c r="B4" s="1" t="s">
        <v>165</v>
      </c>
      <c r="C4" s="1" t="s">
        <v>225</v>
      </c>
      <c r="D4" s="1" t="s">
        <v>186</v>
      </c>
      <c r="E4" s="1" t="s">
        <v>1</v>
      </c>
      <c r="F4" s="2" t="s">
        <v>235</v>
      </c>
      <c r="G4" s="2" t="s">
        <v>236</v>
      </c>
      <c r="H4" s="2" t="s">
        <v>237</v>
      </c>
      <c r="I4" s="2" t="s">
        <v>233</v>
      </c>
      <c r="J4" s="2" t="s">
        <v>234</v>
      </c>
    </row>
    <row r="5" spans="1:10" x14ac:dyDescent="0.2">
      <c r="A5" s="5">
        <v>0</v>
      </c>
      <c r="B5" s="5" t="s">
        <v>3</v>
      </c>
      <c r="C5" s="5" t="str">
        <f>CONCATENATE(REPT("     ",CPS.Thermostat.Physical!A5)," ",CPS.Thermostat.Physical!B5)</f>
        <v xml:space="preserve"> Functional</v>
      </c>
      <c r="D5" s="5" t="s">
        <v>187</v>
      </c>
      <c r="E5" s="6" t="s">
        <v>115</v>
      </c>
    </row>
    <row r="6" spans="1:10" x14ac:dyDescent="0.2">
      <c r="A6" s="7">
        <v>1</v>
      </c>
      <c r="B6" s="7" t="s">
        <v>12</v>
      </c>
      <c r="C6" s="7" t="str">
        <f>CONCATENATE(REPT("     ",CPS.Thermostat.Physical!A6)," ",CPS.Thermostat.Physical!B6)</f>
        <v xml:space="preserve">      actuation</v>
      </c>
      <c r="D6" s="7" t="s">
        <v>187</v>
      </c>
      <c r="E6" s="7" t="s">
        <v>13</v>
      </c>
    </row>
    <row r="7" spans="1:10" x14ac:dyDescent="0.2">
      <c r="A7" s="7">
        <v>1</v>
      </c>
      <c r="B7" s="7" t="s">
        <v>14</v>
      </c>
      <c r="C7" s="7" t="str">
        <f>CONCATENATE(REPT("     ",CPS.Thermostat.Physical!A7)," ",CPS.Thermostat.Physical!B7)</f>
        <v xml:space="preserve">      communication</v>
      </c>
      <c r="D7" s="7" t="s">
        <v>187</v>
      </c>
      <c r="E7" s="7" t="s">
        <v>15</v>
      </c>
    </row>
    <row r="8" spans="1:10" ht="30" x14ac:dyDescent="0.2">
      <c r="A8" s="7">
        <v>2</v>
      </c>
      <c r="B8" s="7" t="s">
        <v>166</v>
      </c>
      <c r="C8" s="7" t="str">
        <f>CONCATENATE(REPT("     ",CPS.Thermostat.Physical!A8)," ",CPS.Thermostat.Physical!B8)</f>
        <v xml:space="preserve">           Syntactic Interoperability</v>
      </c>
      <c r="D8" s="7" t="s">
        <v>167</v>
      </c>
      <c r="E8" s="7" t="s">
        <v>202</v>
      </c>
    </row>
    <row r="9" spans="1:10" x14ac:dyDescent="0.2">
      <c r="A9" s="7">
        <v>3</v>
      </c>
      <c r="B9" s="7" t="s">
        <v>168</v>
      </c>
      <c r="C9" s="7" t="str">
        <f>CONCATENATE(REPT("     ",CPS.Thermostat.Physical!A9)," ",CPS.Thermostat.Physical!B9)</f>
        <v xml:space="preserve">                OSI-Application</v>
      </c>
      <c r="D9" s="7" t="s">
        <v>169</v>
      </c>
      <c r="E9" s="7" t="s">
        <v>203</v>
      </c>
    </row>
    <row r="10" spans="1:10" x14ac:dyDescent="0.2">
      <c r="A10" s="7">
        <v>3</v>
      </c>
      <c r="B10" s="7" t="s">
        <v>170</v>
      </c>
      <c r="C10" s="7" t="str">
        <f>CONCATENATE(REPT("     ",CPS.Thermostat.Physical!A10)," ",CPS.Thermostat.Physical!B10)</f>
        <v xml:space="preserve">                OSI-Presentation</v>
      </c>
      <c r="D10" s="7" t="s">
        <v>171</v>
      </c>
      <c r="E10" s="7" t="s">
        <v>204</v>
      </c>
    </row>
    <row r="11" spans="1:10" ht="30" x14ac:dyDescent="0.2">
      <c r="A11" s="7">
        <v>2</v>
      </c>
      <c r="B11" s="7" t="s">
        <v>172</v>
      </c>
      <c r="C11" s="7" t="str">
        <f>CONCATENATE(REPT("     ",CPS.Thermostat.Physical!A11)," ",CPS.Thermostat.Physical!B11)</f>
        <v xml:space="preserve">           Network Interoperability</v>
      </c>
      <c r="D11" s="7" t="s">
        <v>173</v>
      </c>
      <c r="E11" s="7" t="s">
        <v>205</v>
      </c>
    </row>
    <row r="12" spans="1:10" x14ac:dyDescent="0.2">
      <c r="A12" s="7">
        <v>3</v>
      </c>
      <c r="B12" s="7" t="s">
        <v>174</v>
      </c>
      <c r="C12" s="7" t="str">
        <f>CONCATENATE(REPT("     ",CPS.Thermostat.Physical!A12)," ",CPS.Thermostat.Physical!B12)</f>
        <v xml:space="preserve">                OSI-Session</v>
      </c>
      <c r="D12" s="7" t="s">
        <v>175</v>
      </c>
      <c r="E12" s="7" t="s">
        <v>226</v>
      </c>
    </row>
    <row r="13" spans="1:10" x14ac:dyDescent="0.2">
      <c r="A13" s="7">
        <v>3</v>
      </c>
      <c r="B13" s="7" t="s">
        <v>176</v>
      </c>
      <c r="C13" s="7" t="str">
        <f>CONCATENATE(REPT("     ",CPS.Thermostat.Physical!A13)," ",CPS.Thermostat.Physical!B13)</f>
        <v xml:space="preserve">                OSI-Transport</v>
      </c>
      <c r="D13" s="7" t="s">
        <v>177</v>
      </c>
      <c r="E13" s="7" t="s">
        <v>206</v>
      </c>
    </row>
    <row r="14" spans="1:10" x14ac:dyDescent="0.2">
      <c r="A14" s="7">
        <v>3</v>
      </c>
      <c r="B14" s="7" t="s">
        <v>178</v>
      </c>
      <c r="C14" s="7" t="str">
        <f>CONCATENATE(REPT("     ",CPS.Thermostat.Physical!A14)," ",CPS.Thermostat.Physical!B14)</f>
        <v xml:space="preserve">                OSI-Network</v>
      </c>
      <c r="D14" s="7" t="s">
        <v>179</v>
      </c>
      <c r="E14" s="7" t="s">
        <v>207</v>
      </c>
    </row>
    <row r="15" spans="1:10" x14ac:dyDescent="0.2">
      <c r="A15" s="7">
        <v>2</v>
      </c>
      <c r="B15" s="7" t="s">
        <v>180</v>
      </c>
      <c r="C15" s="7" t="str">
        <f>CONCATENATE(REPT("     ",CPS.Thermostat.Physical!A15)," ",CPS.Thermostat.Physical!B15)</f>
        <v xml:space="preserve">           Basic Connectivity</v>
      </c>
      <c r="D15" s="7" t="s">
        <v>181</v>
      </c>
      <c r="E15" s="7" t="s">
        <v>208</v>
      </c>
    </row>
    <row r="16" spans="1:10" x14ac:dyDescent="0.2">
      <c r="A16" s="7">
        <v>3</v>
      </c>
      <c r="B16" s="7" t="s">
        <v>182</v>
      </c>
      <c r="C16" s="7" t="str">
        <f>CONCATENATE(REPT("     ",CPS.Thermostat.Physical!A16)," ",CPS.Thermostat.Physical!B16)</f>
        <v xml:space="preserve">                OSI-Data Link</v>
      </c>
      <c r="D16" s="7" t="s">
        <v>183</v>
      </c>
      <c r="E16" s="7" t="s">
        <v>209</v>
      </c>
    </row>
    <row r="17" spans="1:5" x14ac:dyDescent="0.2">
      <c r="A17" s="7">
        <v>3</v>
      </c>
      <c r="B17" s="7" t="s">
        <v>184</v>
      </c>
      <c r="C17" s="7" t="str">
        <f>CONCATENATE(REPT("     ",CPS.Thermostat.Physical!A17)," ",CPS.Thermostat.Physical!B17)</f>
        <v xml:space="preserve">                OSI-Physical</v>
      </c>
      <c r="D17" s="7" t="s">
        <v>185</v>
      </c>
      <c r="E17" s="7" t="s">
        <v>210</v>
      </c>
    </row>
    <row r="18" spans="1:5" ht="45" x14ac:dyDescent="0.2">
      <c r="A18" s="7">
        <v>1</v>
      </c>
      <c r="B18" s="7" t="s">
        <v>16</v>
      </c>
      <c r="C18" s="7" t="str">
        <f>CONCATENATE(REPT("     ",CPS.Thermostat.Physical!A18)," ",CPS.Thermostat.Physical!B18)</f>
        <v xml:space="preserve">      controllability</v>
      </c>
      <c r="D18" s="7" t="s">
        <v>187</v>
      </c>
      <c r="E18" s="7" t="s">
        <v>17</v>
      </c>
    </row>
    <row r="19" spans="1:5" x14ac:dyDescent="0.2">
      <c r="A19" s="7">
        <v>1</v>
      </c>
      <c r="B19" s="7" t="s">
        <v>18</v>
      </c>
      <c r="C19" s="7" t="str">
        <f>CONCATENATE(REPT("     ",CPS.Thermostat.Physical!A19)," ",CPS.Thermostat.Physical!B19)</f>
        <v xml:space="preserve">      functionality</v>
      </c>
      <c r="D19" s="7" t="s">
        <v>187</v>
      </c>
      <c r="E19" s="7" t="s">
        <v>19</v>
      </c>
    </row>
    <row r="20" spans="1:5" x14ac:dyDescent="0.2">
      <c r="A20" s="7">
        <v>1</v>
      </c>
      <c r="B20" s="7" t="s">
        <v>20</v>
      </c>
      <c r="C20" s="7" t="str">
        <f>CONCATENATE(REPT("     ",CPS.Thermostat.Physical!A20)," ",CPS.Thermostat.Physical!B20)</f>
        <v xml:space="preserve">      measurability</v>
      </c>
      <c r="D20" s="7" t="s">
        <v>187</v>
      </c>
      <c r="E20" s="7" t="s">
        <v>21</v>
      </c>
    </row>
    <row r="21" spans="1:5" ht="30" x14ac:dyDescent="0.2">
      <c r="A21" s="7">
        <v>1</v>
      </c>
      <c r="B21" s="7" t="s">
        <v>22</v>
      </c>
      <c r="C21" s="7" t="str">
        <f>CONCATENATE(REPT("     ",CPS.Thermostat.Physical!A21)," ",CPS.Thermostat.Physical!B21)</f>
        <v xml:space="preserve">      monitorability</v>
      </c>
      <c r="D21" s="7" t="s">
        <v>187</v>
      </c>
      <c r="E21" s="7" t="s">
        <v>23</v>
      </c>
    </row>
    <row r="22" spans="1:5" x14ac:dyDescent="0.2">
      <c r="A22" s="7">
        <v>1</v>
      </c>
      <c r="B22" s="7" t="s">
        <v>24</v>
      </c>
      <c r="C22" s="7" t="str">
        <f>CONCATENATE(REPT("     ",CPS.Thermostat.Physical!A22)," ",CPS.Thermostat.Physical!B22)</f>
        <v xml:space="preserve">      performance</v>
      </c>
      <c r="D22" s="7" t="s">
        <v>187</v>
      </c>
      <c r="E22" s="7" t="s">
        <v>25</v>
      </c>
    </row>
    <row r="23" spans="1:5" x14ac:dyDescent="0.2">
      <c r="A23" s="7">
        <v>1</v>
      </c>
      <c r="B23" s="7" t="s">
        <v>26</v>
      </c>
      <c r="C23" s="7" t="str">
        <f>CONCATENATE(REPT("     ",CPS.Thermostat.Physical!A23)," ",CPS.Thermostat.Physical!B23)</f>
        <v xml:space="preserve">      physical</v>
      </c>
      <c r="D23" s="7" t="s">
        <v>187</v>
      </c>
      <c r="E23" s="7" t="s">
        <v>27</v>
      </c>
    </row>
    <row r="24" spans="1:5" ht="45" x14ac:dyDescent="0.2">
      <c r="A24" s="7">
        <v>1</v>
      </c>
      <c r="B24" s="7" t="s">
        <v>28</v>
      </c>
      <c r="C24" s="7" t="str">
        <f>CONCATENATE(REPT("     ",CPS.Thermostat.Physical!A24)," ",CPS.Thermostat.Physical!B24)</f>
        <v xml:space="preserve">      physical context</v>
      </c>
      <c r="D24" s="7" t="s">
        <v>187</v>
      </c>
      <c r="E24" s="7" t="s">
        <v>29</v>
      </c>
    </row>
    <row r="25" spans="1:5" x14ac:dyDescent="0.2">
      <c r="A25" s="7">
        <v>1</v>
      </c>
      <c r="B25" s="7" t="s">
        <v>30</v>
      </c>
      <c r="C25" s="7" t="str">
        <f>CONCATENATE(REPT("     ",CPS.Thermostat.Physical!A25)," ",CPS.Thermostat.Physical!B25)</f>
        <v xml:space="preserve">      sensing</v>
      </c>
      <c r="D25" s="7" t="s">
        <v>187</v>
      </c>
      <c r="E25" s="7" t="s">
        <v>31</v>
      </c>
    </row>
    <row r="26" spans="1:5" ht="90" x14ac:dyDescent="0.2">
      <c r="A26" s="7">
        <v>1</v>
      </c>
      <c r="B26" s="7" t="s">
        <v>32</v>
      </c>
      <c r="C26" s="7" t="str">
        <f>CONCATENATE(REPT("     ",CPS.Thermostat.Physical!A26)," ",CPS.Thermostat.Physical!B26)</f>
        <v xml:space="preserve">      uncertainty</v>
      </c>
      <c r="D26" s="7" t="s">
        <v>187</v>
      </c>
      <c r="E26" s="7" t="s">
        <v>33</v>
      </c>
    </row>
    <row r="27" spans="1:5" x14ac:dyDescent="0.2">
      <c r="A27" s="7">
        <v>1</v>
      </c>
      <c r="B27" s="7" t="s">
        <v>188</v>
      </c>
      <c r="C27" s="7" t="str">
        <f>CONCATENATE(REPT("     ",CPS.Thermostat.Physical!A27)," ",CPS.Thermostat.Physical!B27)</f>
        <v xml:space="preserve">      statesAndModes</v>
      </c>
      <c r="D27" s="7" t="s">
        <v>189</v>
      </c>
      <c r="E27" s="7" t="s">
        <v>224</v>
      </c>
    </row>
    <row r="28" spans="1:5" x14ac:dyDescent="0.2">
      <c r="A28" s="7">
        <v>1</v>
      </c>
      <c r="B28" s="7" t="s">
        <v>222</v>
      </c>
      <c r="C28" s="7" t="str">
        <f>CONCATENATE(REPT("     ",CPS.Thermostat.Physical!A28)," ",CPS.Thermostat.Physical!B28)</f>
        <v xml:space="preserve">      manageability</v>
      </c>
      <c r="D28" s="7"/>
      <c r="E28" s="7" t="s">
        <v>223</v>
      </c>
    </row>
    <row r="29" spans="1:5" ht="44" customHeight="1" x14ac:dyDescent="0.2">
      <c r="A29" s="7">
        <v>2</v>
      </c>
      <c r="B29" s="7" t="s">
        <v>194</v>
      </c>
      <c r="C29" s="7" t="str">
        <f>CONCATENATE(REPT("     ",CPS.Thermostat.Physical!A29)," ",CPS.Thermostat.Physical!B29)</f>
        <v xml:space="preserve">           configurationManagement</v>
      </c>
      <c r="D29" s="7" t="s">
        <v>190</v>
      </c>
      <c r="E29" s="7" t="s">
        <v>227</v>
      </c>
    </row>
    <row r="30" spans="1:5" ht="30" x14ac:dyDescent="0.2">
      <c r="A30" s="7">
        <v>2</v>
      </c>
      <c r="B30" s="7" t="s">
        <v>195</v>
      </c>
      <c r="C30" s="7" t="str">
        <f>CONCATENATE(REPT("     ",CPS.Thermostat.Physical!A30)," ",CPS.Thermostat.Physical!B30)</f>
        <v xml:space="preserve">           configurationForLeastFFunctionality</v>
      </c>
      <c r="D30" s="7" t="s">
        <v>191</v>
      </c>
      <c r="E30" s="7" t="s">
        <v>212</v>
      </c>
    </row>
    <row r="31" spans="1:5" ht="30" x14ac:dyDescent="0.2">
      <c r="A31" s="7">
        <v>2</v>
      </c>
      <c r="B31" s="7" t="s">
        <v>192</v>
      </c>
      <c r="C31" s="7" t="str">
        <f>CONCATENATE(REPT("     ",CPS.Thermostat.Physical!A31)," ",CPS.Thermostat.Physical!B31)</f>
        <v xml:space="preserve">           Component Inventory</v>
      </c>
      <c r="D31" s="7" t="s">
        <v>193</v>
      </c>
      <c r="E31" s="7" t="s">
        <v>213</v>
      </c>
    </row>
    <row r="32" spans="1:5" x14ac:dyDescent="0.2">
      <c r="A32" s="5">
        <v>0</v>
      </c>
      <c r="B32" s="5" t="s">
        <v>4</v>
      </c>
      <c r="C32" s="5" t="str">
        <f>CONCATENATE(REPT("     ",CPS.Thermostat.Physical!A32)," ",CPS.Thermostat.Physical!B32)</f>
        <v xml:space="preserve"> Business</v>
      </c>
      <c r="D32" s="5" t="s">
        <v>187</v>
      </c>
      <c r="E32" s="6" t="s">
        <v>116</v>
      </c>
    </row>
    <row r="33" spans="1:5" x14ac:dyDescent="0.2">
      <c r="A33" s="7">
        <v>1</v>
      </c>
      <c r="B33" s="7" t="s">
        <v>34</v>
      </c>
      <c r="C33" s="7" t="str">
        <f>CONCATENATE(REPT("     ",CPS.Thermostat.Physical!A33)," ",CPS.Thermostat.Physical!B33)</f>
        <v xml:space="preserve">      enterprise</v>
      </c>
      <c r="D33" s="7" t="s">
        <v>187</v>
      </c>
      <c r="E33" s="7" t="s">
        <v>35</v>
      </c>
    </row>
    <row r="34" spans="1:5" x14ac:dyDescent="0.2">
      <c r="A34" s="7">
        <v>1</v>
      </c>
      <c r="B34" s="7" t="s">
        <v>2</v>
      </c>
      <c r="C34" s="7" t="str">
        <f>CONCATENATE(REPT("     ",CPS.Thermostat.Physical!A34)," ",CPS.Thermostat.Physical!B34)</f>
        <v xml:space="preserve">      cost</v>
      </c>
      <c r="D34" s="7" t="s">
        <v>187</v>
      </c>
      <c r="E34" s="7" t="s">
        <v>36</v>
      </c>
    </row>
    <row r="35" spans="1:5" x14ac:dyDescent="0.2">
      <c r="A35" s="7">
        <v>1</v>
      </c>
      <c r="B35" s="7" t="s">
        <v>37</v>
      </c>
      <c r="C35" s="7" t="str">
        <f>CONCATENATE(REPT("     ",CPS.Thermostat.Physical!A35)," ",CPS.Thermostat.Physical!B35)</f>
        <v xml:space="preserve">      environment</v>
      </c>
      <c r="D35" s="7" t="s">
        <v>187</v>
      </c>
      <c r="E35" s="7" t="s">
        <v>197</v>
      </c>
    </row>
    <row r="36" spans="1:5" x14ac:dyDescent="0.2">
      <c r="A36" s="7">
        <v>1</v>
      </c>
      <c r="B36" s="7" t="s">
        <v>38</v>
      </c>
      <c r="C36" s="7" t="str">
        <f>CONCATENATE(REPT("     ",CPS.Thermostat.Physical!A36)," ",CPS.Thermostat.Physical!B36)</f>
        <v xml:space="preserve">      policy</v>
      </c>
      <c r="D36" s="7" t="s">
        <v>187</v>
      </c>
      <c r="E36" s="7" t="s">
        <v>39</v>
      </c>
    </row>
    <row r="37" spans="1:5" x14ac:dyDescent="0.2">
      <c r="A37" s="7">
        <v>1</v>
      </c>
      <c r="B37" s="7" t="s">
        <v>40</v>
      </c>
      <c r="C37" s="7" t="str">
        <f>CONCATENATE(REPT("     ",CPS.Thermostat.Physical!A37)," ",CPS.Thermostat.Physical!B37)</f>
        <v xml:space="preserve">      quality</v>
      </c>
      <c r="D37" s="7" t="s">
        <v>187</v>
      </c>
      <c r="E37" s="7" t="s">
        <v>41</v>
      </c>
    </row>
    <row r="38" spans="1:5" x14ac:dyDescent="0.2">
      <c r="A38" s="7">
        <v>1</v>
      </c>
      <c r="B38" s="7" t="s">
        <v>42</v>
      </c>
      <c r="C38" s="7" t="str">
        <f>CONCATENATE(REPT("     ",CPS.Thermostat.Physical!A38)," ",CPS.Thermostat.Physical!B38)</f>
        <v xml:space="preserve">      regulatory</v>
      </c>
      <c r="D38" s="7" t="s">
        <v>187</v>
      </c>
      <c r="E38" s="7" t="s">
        <v>43</v>
      </c>
    </row>
    <row r="39" spans="1:5" x14ac:dyDescent="0.2">
      <c r="A39" s="7">
        <v>1</v>
      </c>
      <c r="B39" s="7" t="s">
        <v>44</v>
      </c>
      <c r="C39" s="7" t="str">
        <f>CONCATENATE(REPT("     ",CPS.Thermostat.Physical!A39)," ",CPS.Thermostat.Physical!B39)</f>
        <v xml:space="preserve">      time to market</v>
      </c>
      <c r="D39" s="7" t="s">
        <v>187</v>
      </c>
      <c r="E39" s="7" t="s">
        <v>45</v>
      </c>
    </row>
    <row r="40" spans="1:5" ht="30" x14ac:dyDescent="0.2">
      <c r="A40" s="7">
        <v>1</v>
      </c>
      <c r="B40" s="7" t="s">
        <v>46</v>
      </c>
      <c r="C40" s="7" t="str">
        <f>CONCATENATE(REPT("     ",CPS.Thermostat.Physical!A40)," ",CPS.Thermostat.Physical!B40)</f>
        <v xml:space="preserve">      utility</v>
      </c>
      <c r="D40" s="7" t="s">
        <v>187</v>
      </c>
      <c r="E40" s="7" t="s">
        <v>47</v>
      </c>
    </row>
    <row r="41" spans="1:5" x14ac:dyDescent="0.2">
      <c r="A41" s="7">
        <v>1</v>
      </c>
      <c r="B41" s="7" t="s">
        <v>196</v>
      </c>
      <c r="C41" s="7" t="str">
        <f>CONCATENATE(REPT("     ",CPS.Thermostat.Physical!A41)," ",CPS.Thermostat.Physical!B41)</f>
        <v xml:space="preserve">      Planning</v>
      </c>
      <c r="D41" s="7"/>
      <c r="E41" s="7" t="s">
        <v>211</v>
      </c>
    </row>
    <row r="42" spans="1:5" x14ac:dyDescent="0.2">
      <c r="A42" s="5">
        <v>0</v>
      </c>
      <c r="B42" s="5" t="s">
        <v>5</v>
      </c>
      <c r="C42" s="5" t="str">
        <f>CONCATENATE(REPT("     ",CPS.Thermostat.Physical!A42)," ",CPS.Thermostat.Physical!B42)</f>
        <v xml:space="preserve"> Human</v>
      </c>
      <c r="D42" s="5" t="s">
        <v>187</v>
      </c>
      <c r="E42" s="6" t="s">
        <v>117</v>
      </c>
    </row>
    <row r="43" spans="1:5" x14ac:dyDescent="0.2">
      <c r="A43" s="7">
        <v>1</v>
      </c>
      <c r="B43" s="7" t="s">
        <v>48</v>
      </c>
      <c r="C43" s="7" t="str">
        <f>CONCATENATE(REPT("     ",CPS.Thermostat.Physical!A43)," ",CPS.Thermostat.Physical!B43)</f>
        <v xml:space="preserve">      human factors</v>
      </c>
      <c r="D43" s="7" t="s">
        <v>187</v>
      </c>
      <c r="E43" s="7" t="s">
        <v>49</v>
      </c>
    </row>
    <row r="44" spans="1:5" ht="45" x14ac:dyDescent="0.2">
      <c r="A44" s="7">
        <v>1</v>
      </c>
      <c r="B44" s="7" t="s">
        <v>50</v>
      </c>
      <c r="C44" s="7" t="str">
        <f>CONCATENATE(REPT("     ",CPS.Thermostat.Physical!A44)," ",CPS.Thermostat.Physical!B44)</f>
        <v xml:space="preserve">      usability</v>
      </c>
      <c r="D44" s="7" t="s">
        <v>187</v>
      </c>
      <c r="E44" s="7" t="s">
        <v>51</v>
      </c>
    </row>
    <row r="45" spans="1:5" x14ac:dyDescent="0.2">
      <c r="A45" s="5">
        <v>0</v>
      </c>
      <c r="B45" s="5" t="s">
        <v>6</v>
      </c>
      <c r="C45" s="5" t="str">
        <f>CONCATENATE(REPT("     ",CPS.Thermostat.Physical!A45)," ",CPS.Thermostat.Physical!B45)</f>
        <v xml:space="preserve"> Trustworthiness</v>
      </c>
      <c r="D45" s="5" t="s">
        <v>187</v>
      </c>
      <c r="E45" s="6" t="s">
        <v>118</v>
      </c>
    </row>
    <row r="46" spans="1:5" ht="75" x14ac:dyDescent="0.2">
      <c r="A46" s="7">
        <v>1</v>
      </c>
      <c r="B46" s="7" t="s">
        <v>52</v>
      </c>
      <c r="C46" s="7" t="str">
        <f>CONCATENATE(REPT("     ",CPS.Thermostat.Physical!A46)," ",CPS.Thermostat.Physical!B46)</f>
        <v xml:space="preserve">      privacy</v>
      </c>
      <c r="D46" s="7" t="s">
        <v>187</v>
      </c>
      <c r="E46" s="7" t="s">
        <v>53</v>
      </c>
    </row>
    <row r="47" spans="1:5" x14ac:dyDescent="0.2">
      <c r="A47" s="7">
        <v>1</v>
      </c>
      <c r="B47" s="7" t="s">
        <v>54</v>
      </c>
      <c r="C47" s="7" t="str">
        <f>CONCATENATE(REPT("     ",CPS.Thermostat.Physical!A47)," ",CPS.Thermostat.Physical!B47)</f>
        <v xml:space="preserve">      reliability</v>
      </c>
      <c r="D47" s="7" t="s">
        <v>187</v>
      </c>
      <c r="E47" s="7" t="s">
        <v>55</v>
      </c>
    </row>
    <row r="48" spans="1:5" ht="30" x14ac:dyDescent="0.2">
      <c r="A48" s="7">
        <v>1</v>
      </c>
      <c r="B48" s="7" t="s">
        <v>56</v>
      </c>
      <c r="C48" s="7" t="str">
        <f>CONCATENATE(REPT("     ",CPS.Thermostat.Physical!A48)," ",CPS.Thermostat.Physical!B48)</f>
        <v xml:space="preserve">      resilience</v>
      </c>
      <c r="D48" s="7" t="s">
        <v>187</v>
      </c>
      <c r="E48" s="7" t="s">
        <v>57</v>
      </c>
    </row>
    <row r="49" spans="1:5" ht="30" x14ac:dyDescent="0.2">
      <c r="A49" s="7">
        <v>1</v>
      </c>
      <c r="B49" s="7" t="s">
        <v>58</v>
      </c>
      <c r="C49" s="7" t="str">
        <f>CONCATENATE(REPT("     ",CPS.Thermostat.Physical!A49)," ",CPS.Thermostat.Physical!B49)</f>
        <v xml:space="preserve">      safety</v>
      </c>
      <c r="D49" s="7" t="s">
        <v>187</v>
      </c>
      <c r="E49" s="7" t="s">
        <v>59</v>
      </c>
    </row>
    <row r="50" spans="1:5" ht="75" x14ac:dyDescent="0.2">
      <c r="A50" s="7">
        <v>1</v>
      </c>
      <c r="B50" s="7" t="s">
        <v>60</v>
      </c>
      <c r="C50" s="7" t="str">
        <f>CONCATENATE(REPT("     ",CPS.Thermostat.Physical!A50)," ",CPS.Thermostat.Physical!B50)</f>
        <v xml:space="preserve">      security</v>
      </c>
      <c r="D50" s="7" t="s">
        <v>187</v>
      </c>
      <c r="E50" s="7" t="s">
        <v>113</v>
      </c>
    </row>
    <row r="51" spans="1:5" x14ac:dyDescent="0.2">
      <c r="A51" s="7">
        <v>2</v>
      </c>
      <c r="B51" s="7" t="s">
        <v>108</v>
      </c>
      <c r="C51" s="7" t="str">
        <f>CONCATENATE(REPT("     ",CPS.Thermostat.Physical!A51)," ",CPS.Thermostat.Physical!B51)</f>
        <v xml:space="preserve">           cybersecurity</v>
      </c>
      <c r="D51" s="7" t="s">
        <v>187</v>
      </c>
      <c r="E51" s="7" t="s">
        <v>228</v>
      </c>
    </row>
    <row r="52" spans="1:5" x14ac:dyDescent="0.2">
      <c r="A52" s="7">
        <v>3</v>
      </c>
      <c r="B52" s="7" t="s">
        <v>107</v>
      </c>
      <c r="C52" s="7" t="str">
        <f>CONCATENATE(REPT("     ",CPS.Thermostat.Physical!A52)," ",CPS.Thermostat.Physical!B52)</f>
        <v xml:space="preserve">                confidentiality</v>
      </c>
      <c r="D52" s="7" t="s">
        <v>187</v>
      </c>
      <c r="E52" s="7" t="s">
        <v>112</v>
      </c>
    </row>
    <row r="53" spans="1:5" x14ac:dyDescent="0.2">
      <c r="A53" s="7">
        <v>3</v>
      </c>
      <c r="B53" s="7" t="s">
        <v>110</v>
      </c>
      <c r="C53" s="7" t="str">
        <f>CONCATENATE(REPT("     ",CPS.Thermostat.Physical!A53)," ",CPS.Thermostat.Physical!B53)</f>
        <v xml:space="preserve">                integrity</v>
      </c>
      <c r="D53" s="7" t="s">
        <v>187</v>
      </c>
      <c r="E53" s="7" t="s">
        <v>215</v>
      </c>
    </row>
    <row r="54" spans="1:5" x14ac:dyDescent="0.2">
      <c r="A54" s="7">
        <v>3</v>
      </c>
      <c r="B54" s="7" t="s">
        <v>111</v>
      </c>
      <c r="C54" s="7" t="str">
        <f>CONCATENATE(REPT("     ",CPS.Thermostat.Physical!A54)," ",CPS.Thermostat.Physical!B54)</f>
        <v xml:space="preserve">                availability</v>
      </c>
      <c r="D54" s="7" t="s">
        <v>187</v>
      </c>
      <c r="E54" s="7" t="s">
        <v>114</v>
      </c>
    </row>
    <row r="55" spans="1:5" x14ac:dyDescent="0.2">
      <c r="A55" s="7">
        <v>2</v>
      </c>
      <c r="B55" s="7" t="s">
        <v>109</v>
      </c>
      <c r="C55" s="7" t="str">
        <f>CONCATENATE(REPT("     ",CPS.Thermostat.Physical!A55)," ",CPS.Thermostat.Physical!B55)</f>
        <v xml:space="preserve">           physicalsecurity</v>
      </c>
      <c r="D55" s="7" t="s">
        <v>187</v>
      </c>
      <c r="E55" s="7" t="s">
        <v>214</v>
      </c>
    </row>
    <row r="56" spans="1:5" ht="30" x14ac:dyDescent="0.2">
      <c r="A56" s="5">
        <v>0</v>
      </c>
      <c r="B56" s="5" t="s">
        <v>7</v>
      </c>
      <c r="C56" s="5" t="str">
        <f>CONCATENATE(REPT("     ",CPS.Thermostat.Physical!A56)," ",CPS.Thermostat.Physical!B56)</f>
        <v xml:space="preserve"> Timing</v>
      </c>
      <c r="D56" s="5" t="s">
        <v>187</v>
      </c>
      <c r="E56" s="6" t="s">
        <v>119</v>
      </c>
    </row>
    <row r="57" spans="1:5" x14ac:dyDescent="0.2">
      <c r="A57" s="7">
        <v>1</v>
      </c>
      <c r="B57" s="7" t="s">
        <v>61</v>
      </c>
      <c r="C57" s="7" t="str">
        <f>CONCATENATE(REPT("     ",CPS.Thermostat.Physical!A57)," ",CPS.Thermostat.Physical!B57)</f>
        <v xml:space="preserve">      logical time</v>
      </c>
      <c r="D57" s="7" t="s">
        <v>187</v>
      </c>
      <c r="E57" s="7" t="s">
        <v>62</v>
      </c>
    </row>
    <row r="58" spans="1:5" ht="60" x14ac:dyDescent="0.2">
      <c r="A58" s="7">
        <v>1</v>
      </c>
      <c r="B58" s="7" t="s">
        <v>63</v>
      </c>
      <c r="C58" s="7" t="str">
        <f>CONCATENATE(REPT("     ",CPS.Thermostat.Physical!A58)," ",CPS.Thermostat.Physical!B58)</f>
        <v xml:space="preserve">      managing timing and latency</v>
      </c>
      <c r="D58" s="7" t="s">
        <v>187</v>
      </c>
      <c r="E58" s="7" t="s">
        <v>64</v>
      </c>
    </row>
    <row r="59" spans="1:5" ht="30" x14ac:dyDescent="0.2">
      <c r="A59" s="7">
        <v>1</v>
      </c>
      <c r="B59" s="7" t="s">
        <v>65</v>
      </c>
      <c r="C59" s="7" t="str">
        <f>CONCATENATE(REPT("     ",CPS.Thermostat.Physical!A59)," ",CPS.Thermostat.Physical!B59)</f>
        <v xml:space="preserve">      synchronization</v>
      </c>
      <c r="D59" s="7" t="s">
        <v>187</v>
      </c>
      <c r="E59" s="7" t="s">
        <v>66</v>
      </c>
    </row>
    <row r="60" spans="1:5" ht="30" x14ac:dyDescent="0.2">
      <c r="A60" s="7">
        <v>1</v>
      </c>
      <c r="B60" s="7" t="s">
        <v>67</v>
      </c>
      <c r="C60" s="7" t="str">
        <f>CONCATENATE(REPT("     ",CPS.Thermostat.Physical!A60)," ",CPS.Thermostat.Physical!B60)</f>
        <v xml:space="preserve">      time awareness</v>
      </c>
      <c r="D60" s="7" t="s">
        <v>187</v>
      </c>
      <c r="E60" s="7" t="s">
        <v>68</v>
      </c>
    </row>
    <row r="61" spans="1:5" ht="45" x14ac:dyDescent="0.2">
      <c r="A61" s="7">
        <v>1</v>
      </c>
      <c r="B61" s="7" t="s">
        <v>69</v>
      </c>
      <c r="C61" s="7" t="str">
        <f>CONCATENATE(REPT("     ",CPS.Thermostat.Physical!A61)," ",CPS.Thermostat.Physical!B61)</f>
        <v xml:space="preserve">      time-interval and latency control</v>
      </c>
      <c r="D61" s="7" t="s">
        <v>187</v>
      </c>
      <c r="E61" s="7" t="s">
        <v>70</v>
      </c>
    </row>
    <row r="62" spans="1:5" x14ac:dyDescent="0.2">
      <c r="A62" s="5">
        <v>0</v>
      </c>
      <c r="B62" s="5" t="s">
        <v>8</v>
      </c>
      <c r="C62" s="5" t="str">
        <f>CONCATENATE(REPT("     ",CPS.Thermostat.Physical!A62)," ",CPS.Thermostat.Physical!B62)</f>
        <v xml:space="preserve"> Data</v>
      </c>
      <c r="D62" s="5" t="s">
        <v>187</v>
      </c>
      <c r="E62" s="6" t="s">
        <v>120</v>
      </c>
    </row>
    <row r="63" spans="1:5" x14ac:dyDescent="0.2">
      <c r="A63" s="7">
        <v>1</v>
      </c>
      <c r="B63" s="7" t="s">
        <v>71</v>
      </c>
      <c r="C63" s="7" t="str">
        <f>CONCATENATE(REPT("     ",CPS.Thermostat.Physical!A63)," ",CPS.Thermostat.Physical!B63)</f>
        <v xml:space="preserve">      data semantics</v>
      </c>
      <c r="D63" s="7" t="s">
        <v>187</v>
      </c>
      <c r="E63" s="7" t="s">
        <v>72</v>
      </c>
    </row>
    <row r="64" spans="1:5" x14ac:dyDescent="0.2">
      <c r="A64" s="7">
        <v>2</v>
      </c>
      <c r="B64" s="7" t="s">
        <v>134</v>
      </c>
      <c r="C64" s="7" t="str">
        <f>CONCATENATE(REPT("     ",CPS.Thermostat.Physical!A64)," ",CPS.Thermostat.Physical!B64)</f>
        <v xml:space="preserve">           data models</v>
      </c>
      <c r="D64" s="7" t="s">
        <v>187</v>
      </c>
      <c r="E64" s="7" t="s">
        <v>141</v>
      </c>
    </row>
    <row r="65" spans="1:5" x14ac:dyDescent="0.2">
      <c r="A65" s="7">
        <v>2</v>
      </c>
      <c r="B65" s="7" t="s">
        <v>135</v>
      </c>
      <c r="C65" s="7" t="str">
        <f>CONCATENATE(REPT("     ",CPS.Thermostat.Physical!A65)," ",CPS.Thermostat.Physical!B65)</f>
        <v xml:space="preserve">           granularity</v>
      </c>
      <c r="D65" s="7" t="s">
        <v>187</v>
      </c>
      <c r="E65" s="7" t="s">
        <v>148</v>
      </c>
    </row>
    <row r="66" spans="1:5" x14ac:dyDescent="0.2">
      <c r="A66" s="7">
        <v>2</v>
      </c>
      <c r="B66" s="7" t="s">
        <v>136</v>
      </c>
      <c r="C66" s="7" t="str">
        <f>CONCATENATE(REPT("     ",CPS.Thermostat.Physical!A66)," ",CPS.Thermostat.Physical!B66)</f>
        <v xml:space="preserve">           meaning</v>
      </c>
      <c r="D66" s="7" t="s">
        <v>187</v>
      </c>
      <c r="E66" s="7" t="s">
        <v>149</v>
      </c>
    </row>
    <row r="67" spans="1:5" ht="30" x14ac:dyDescent="0.2">
      <c r="A67" s="7">
        <v>1</v>
      </c>
      <c r="B67" s="7" t="s">
        <v>73</v>
      </c>
      <c r="C67" s="7" t="str">
        <f>CONCATENATE(REPT("     ",CPS.Thermostat.Physical!A67)," ",CPS.Thermostat.Physical!B67)</f>
        <v xml:space="preserve">      identity</v>
      </c>
      <c r="D67" s="7" t="s">
        <v>187</v>
      </c>
      <c r="E67" s="7" t="s">
        <v>74</v>
      </c>
    </row>
    <row r="68" spans="1:5" ht="30" x14ac:dyDescent="0.2">
      <c r="A68" s="7">
        <v>2</v>
      </c>
      <c r="B68" s="7" t="s">
        <v>216</v>
      </c>
      <c r="C68" s="7" t="str">
        <f>CONCATENATE(REPT("     ",CPS.Thermostat.Physical!A68)," ",CPS.Thermostat.Physical!B68)</f>
        <v xml:space="preserve">           resourceIdentification</v>
      </c>
      <c r="D68" s="7" t="s">
        <v>198</v>
      </c>
      <c r="E68" s="7" t="s">
        <v>150</v>
      </c>
    </row>
    <row r="69" spans="1:5" x14ac:dyDescent="0.2">
      <c r="A69" s="7">
        <v>3</v>
      </c>
      <c r="B69" s="7" t="s">
        <v>217</v>
      </c>
      <c r="C69" s="7" t="str">
        <f>CONCATENATE(REPT("     ",CPS.Thermostat.Physical!A69)," ",CPS.Thermostat.Physical!B69)</f>
        <v xml:space="preserve">                userIdentification</v>
      </c>
      <c r="D69" s="7" t="s">
        <v>199</v>
      </c>
      <c r="E69" s="7" t="s">
        <v>229</v>
      </c>
    </row>
    <row r="70" spans="1:5" ht="30" x14ac:dyDescent="0.2">
      <c r="A70" s="7">
        <v>3</v>
      </c>
      <c r="B70" s="7" t="s">
        <v>218</v>
      </c>
      <c r="C70" s="7" t="str">
        <f>CONCATENATE(REPT("     ",CPS.Thermostat.Physical!A70)," ",CPS.Thermostat.Physical!B70)</f>
        <v xml:space="preserve">                deviceIdentification</v>
      </c>
      <c r="D70" s="7" t="s">
        <v>200</v>
      </c>
      <c r="E70" s="7" t="s">
        <v>230</v>
      </c>
    </row>
    <row r="71" spans="1:5" ht="30" x14ac:dyDescent="0.2">
      <c r="A71" s="7">
        <v>3</v>
      </c>
      <c r="B71" s="7" t="s">
        <v>219</v>
      </c>
      <c r="C71" s="7" t="str">
        <f>CONCATENATE(REPT("     ",CPS.Thermostat.Physical!A71)," ",CPS.Thermostat.Physical!B71)</f>
        <v xml:space="preserve">                objectIdentification</v>
      </c>
      <c r="D71" s="7" t="s">
        <v>201</v>
      </c>
      <c r="E71" s="7" t="s">
        <v>231</v>
      </c>
    </row>
    <row r="72" spans="1:5" x14ac:dyDescent="0.2">
      <c r="A72" s="7">
        <v>3</v>
      </c>
      <c r="B72" s="7" t="s">
        <v>220</v>
      </c>
      <c r="C72" s="7" t="str">
        <f>CONCATENATE(REPT("     ",CPS.Thermostat.Physical!A72)," ",CPS.Thermostat.Physical!B72)</f>
        <v xml:space="preserve">                classIdentification</v>
      </c>
      <c r="D72" s="7"/>
      <c r="E72" s="7" t="s">
        <v>232</v>
      </c>
    </row>
    <row r="73" spans="1:5" x14ac:dyDescent="0.2">
      <c r="A73" s="7">
        <v>2</v>
      </c>
      <c r="B73" s="7" t="s">
        <v>137</v>
      </c>
      <c r="C73" s="7" t="str">
        <f>CONCATENATE(REPT("     ",CPS.Thermostat.Physical!A73)," ",CPS.Thermostat.Physical!B73)</f>
        <v xml:space="preserve">           authentication</v>
      </c>
      <c r="D73" s="7" t="s">
        <v>187</v>
      </c>
      <c r="E73" s="7" t="s">
        <v>151</v>
      </c>
    </row>
    <row r="74" spans="1:5" x14ac:dyDescent="0.2">
      <c r="A74" s="7">
        <v>2</v>
      </c>
      <c r="B74" s="7" t="s">
        <v>138</v>
      </c>
      <c r="C74" s="7" t="str">
        <f>CONCATENATE(REPT("     ",CPS.Thermostat.Physical!A74)," ",CPS.Thermostat.Physical!B74)</f>
        <v xml:space="preserve">           authorization</v>
      </c>
      <c r="D74" s="7" t="s">
        <v>187</v>
      </c>
      <c r="E74" s="7" t="s">
        <v>152</v>
      </c>
    </row>
    <row r="75" spans="1:5" x14ac:dyDescent="0.2">
      <c r="A75" s="7">
        <v>2</v>
      </c>
      <c r="B75" s="7" t="s">
        <v>139</v>
      </c>
      <c r="C75" s="7" t="str">
        <f>CONCATENATE(REPT("     ",CPS.Thermostat.Physical!A75)," ",CPS.Thermostat.Physical!B75)</f>
        <v xml:space="preserve">           verification</v>
      </c>
      <c r="D75" s="7" t="s">
        <v>187</v>
      </c>
      <c r="E75" s="7" t="s">
        <v>153</v>
      </c>
    </row>
    <row r="76" spans="1:5" x14ac:dyDescent="0.2">
      <c r="A76" s="7">
        <v>2</v>
      </c>
      <c r="B76" s="7" t="s">
        <v>110</v>
      </c>
      <c r="C76" s="7" t="str">
        <f>CONCATENATE(REPT("     ",CPS.Thermostat.Physical!A76)," ",CPS.Thermostat.Physical!B76)</f>
        <v xml:space="preserve">           integrity</v>
      </c>
      <c r="D76" s="7" t="s">
        <v>187</v>
      </c>
      <c r="E76" s="7" t="s">
        <v>154</v>
      </c>
    </row>
    <row r="77" spans="1:5" x14ac:dyDescent="0.2">
      <c r="A77" s="7">
        <v>2</v>
      </c>
      <c r="B77" s="7" t="s">
        <v>221</v>
      </c>
      <c r="C77" s="7" t="str">
        <f>CONCATENATE(REPT("     ",CPS.Thermostat.Physical!A77)," ",CPS.Thermostat.Physical!B77)</f>
        <v xml:space="preserve">           configuration</v>
      </c>
      <c r="D77" s="7" t="s">
        <v>187</v>
      </c>
      <c r="E77" s="7" t="s">
        <v>155</v>
      </c>
    </row>
    <row r="78" spans="1:5" x14ac:dyDescent="0.2">
      <c r="A78" s="7">
        <v>2</v>
      </c>
      <c r="B78" s="7" t="s">
        <v>140</v>
      </c>
      <c r="C78" s="7" t="str">
        <f>CONCATENATE(REPT("     ",CPS.Thermostat.Physical!A78)," ",CPS.Thermostat.Physical!B78)</f>
        <v xml:space="preserve">           provenance</v>
      </c>
      <c r="D78" s="7" t="s">
        <v>187</v>
      </c>
      <c r="E78" s="7" t="s">
        <v>156</v>
      </c>
    </row>
    <row r="79" spans="1:5" ht="30" x14ac:dyDescent="0.2">
      <c r="A79" s="7">
        <v>1</v>
      </c>
      <c r="B79" s="7" t="s">
        <v>75</v>
      </c>
      <c r="C79" s="7" t="str">
        <f>CONCATENATE(REPT("     ",CPS.Thermostat.Physical!A79)," ",CPS.Thermostat.Physical!B79)</f>
        <v xml:space="preserve">      operations on data</v>
      </c>
      <c r="D79" s="7" t="s">
        <v>187</v>
      </c>
      <c r="E79" s="7" t="s">
        <v>76</v>
      </c>
    </row>
    <row r="80" spans="1:5" x14ac:dyDescent="0.2">
      <c r="A80" s="7">
        <v>2</v>
      </c>
      <c r="B80" s="7" t="s">
        <v>130</v>
      </c>
      <c r="C80" s="7" t="str">
        <f>CONCATENATE(REPT("     ",CPS.Thermostat.Physical!A80)," ",CPS.Thermostat.Physical!B80)</f>
        <v xml:space="preserve">           analytics</v>
      </c>
      <c r="D80" s="7" t="s">
        <v>187</v>
      </c>
      <c r="E80" s="7" t="s">
        <v>130</v>
      </c>
    </row>
    <row r="81" spans="1:5" x14ac:dyDescent="0.2">
      <c r="A81" s="7">
        <v>2</v>
      </c>
      <c r="B81" s="7" t="s">
        <v>125</v>
      </c>
      <c r="C81" s="7" t="str">
        <f>CONCATENATE(REPT("     ",CPS.Thermostat.Physical!A81)," ",CPS.Thermostat.Physical!B81)</f>
        <v xml:space="preserve">           fusion</v>
      </c>
      <c r="D81" s="7" t="s">
        <v>187</v>
      </c>
      <c r="E81" s="7" t="s">
        <v>127</v>
      </c>
    </row>
    <row r="82" spans="1:5" x14ac:dyDescent="0.2">
      <c r="A82" s="7">
        <v>2</v>
      </c>
      <c r="B82" s="7" t="s">
        <v>131</v>
      </c>
      <c r="C82" s="7" t="str">
        <f>CONCATENATE(REPT("     ",CPS.Thermostat.Physical!A82)," ",CPS.Thermostat.Physical!B82)</f>
        <v xml:space="preserve">           storage</v>
      </c>
      <c r="D82" s="7" t="s">
        <v>187</v>
      </c>
      <c r="E82" s="7" t="s">
        <v>128</v>
      </c>
    </row>
    <row r="83" spans="1:5" ht="30" x14ac:dyDescent="0.2">
      <c r="A83" s="7">
        <v>2</v>
      </c>
      <c r="B83" s="7" t="s">
        <v>132</v>
      </c>
      <c r="C83" s="7" t="str">
        <f>CONCATENATE(REPT("     ",CPS.Thermostat.Physical!A83)," ",CPS.Thermostat.Physical!B83)</f>
        <v xml:space="preserve">           aggregation/disaggregation</v>
      </c>
      <c r="D83" s="7" t="s">
        <v>187</v>
      </c>
      <c r="E83" s="7" t="s">
        <v>158</v>
      </c>
    </row>
    <row r="84" spans="1:5" x14ac:dyDescent="0.2">
      <c r="A84" s="7">
        <v>2</v>
      </c>
      <c r="B84" s="7" t="s">
        <v>133</v>
      </c>
      <c r="C84" s="7" t="str">
        <f>CONCATENATE(REPT("     ",CPS.Thermostat.Physical!A84)," ",CPS.Thermostat.Physical!B84)</f>
        <v xml:space="preserve">           transformation</v>
      </c>
      <c r="D84" s="7" t="s">
        <v>187</v>
      </c>
      <c r="E84" s="7" t="s">
        <v>157</v>
      </c>
    </row>
    <row r="85" spans="1:5" ht="30" x14ac:dyDescent="0.2">
      <c r="A85" s="7">
        <v>1</v>
      </c>
      <c r="B85" s="7" t="s">
        <v>77</v>
      </c>
      <c r="C85" s="7" t="str">
        <f>CONCATENATE(REPT("     ",CPS.Thermostat.Physical!A85)," ",CPS.Thermostat.Physical!B85)</f>
        <v xml:space="preserve">      relationship between data</v>
      </c>
      <c r="D85" s="7" t="s">
        <v>187</v>
      </c>
      <c r="E85" s="7" t="s">
        <v>78</v>
      </c>
    </row>
    <row r="86" spans="1:5" x14ac:dyDescent="0.2">
      <c r="A86" s="7">
        <v>2</v>
      </c>
      <c r="B86" s="7" t="s">
        <v>142</v>
      </c>
      <c r="C86" s="7" t="str">
        <f>CONCATENATE(REPT("     ",CPS.Thermostat.Physical!A86)," ",CPS.Thermostat.Physical!B86)</f>
        <v xml:space="preserve">           time of data</v>
      </c>
      <c r="D86" s="7" t="s">
        <v>187</v>
      </c>
      <c r="E86" s="7" t="s">
        <v>159</v>
      </c>
    </row>
    <row r="87" spans="1:5" ht="45" x14ac:dyDescent="0.2">
      <c r="A87" s="7">
        <v>2</v>
      </c>
      <c r="B87" s="7" t="s">
        <v>143</v>
      </c>
      <c r="C87" s="7" t="str">
        <f>CONCATENATE(REPT("     ",CPS.Thermostat.Physical!A87)," ",CPS.Thermostat.Physical!B87)</f>
        <v xml:space="preserve">           related data (including metadata)</v>
      </c>
      <c r="D87" s="7" t="s">
        <v>187</v>
      </c>
      <c r="E87" s="7" t="s">
        <v>160</v>
      </c>
    </row>
    <row r="88" spans="1:5" x14ac:dyDescent="0.2">
      <c r="A88" s="7">
        <v>2</v>
      </c>
      <c r="B88" s="7" t="s">
        <v>144</v>
      </c>
      <c r="C88" s="7" t="str">
        <f>CONCATENATE(REPT("     ",CPS.Thermostat.Physical!A88)," ",CPS.Thermostat.Physical!B88)</f>
        <v xml:space="preserve">           location of data</v>
      </c>
      <c r="D88" s="7" t="s">
        <v>187</v>
      </c>
      <c r="E88" s="7" t="s">
        <v>144</v>
      </c>
    </row>
    <row r="89" spans="1:5" x14ac:dyDescent="0.2">
      <c r="A89" s="7">
        <v>2</v>
      </c>
      <c r="B89" s="7" t="s">
        <v>145</v>
      </c>
      <c r="C89" s="7" t="str">
        <f>CONCATENATE(REPT("     ",CPS.Thermostat.Physical!A89)," ",CPS.Thermostat.Physical!B89)</f>
        <v xml:space="preserve">           inheritance</v>
      </c>
      <c r="D89" s="7" t="s">
        <v>187</v>
      </c>
      <c r="E89" s="7" t="s">
        <v>161</v>
      </c>
    </row>
    <row r="90" spans="1:5" x14ac:dyDescent="0.2">
      <c r="A90" s="7">
        <v>2</v>
      </c>
      <c r="B90" s="7" t="s">
        <v>146</v>
      </c>
      <c r="C90" s="7" t="str">
        <f>CONCATENATE(REPT("     ",CPS.Thermostat.Physical!A90)," ",CPS.Thermostat.Physical!B90)</f>
        <v xml:space="preserve">           polymorphism</v>
      </c>
      <c r="D90" s="7" t="s">
        <v>187</v>
      </c>
      <c r="E90" s="7" t="s">
        <v>162</v>
      </c>
    </row>
    <row r="91" spans="1:5" ht="30" x14ac:dyDescent="0.2">
      <c r="A91" s="7">
        <v>2</v>
      </c>
      <c r="B91" s="7" t="s">
        <v>163</v>
      </c>
      <c r="C91" s="7" t="str">
        <f>CONCATENATE(REPT("     ",CPS.Thermostat.Physical!A91)," ",CPS.Thermostat.Physical!B91)</f>
        <v xml:space="preserve">           directionality of relationships</v>
      </c>
      <c r="D91" s="7" t="s">
        <v>187</v>
      </c>
      <c r="E91" s="7" t="s">
        <v>147</v>
      </c>
    </row>
    <row r="92" spans="1:5" x14ac:dyDescent="0.2">
      <c r="A92" s="7">
        <v>2</v>
      </c>
      <c r="B92" s="7" t="s">
        <v>40</v>
      </c>
      <c r="C92" s="7" t="str">
        <f>CONCATENATE(REPT("     ",CPS.Thermostat.Physical!A92)," ",CPS.Thermostat.Physical!B92)</f>
        <v xml:space="preserve">           quality</v>
      </c>
      <c r="D92" s="7" t="s">
        <v>187</v>
      </c>
      <c r="E92" s="7" t="s">
        <v>164</v>
      </c>
    </row>
    <row r="93" spans="1:5" x14ac:dyDescent="0.2">
      <c r="A93" s="7">
        <v>1</v>
      </c>
      <c r="B93" s="7" t="s">
        <v>126</v>
      </c>
      <c r="C93" s="7" t="str">
        <f>CONCATENATE(REPT("     ",CPS.Thermostat.Physical!A93)," ",CPS.Thermostat.Physical!B93)</f>
        <v xml:space="preserve">      velocity</v>
      </c>
      <c r="D93" s="7" t="s">
        <v>187</v>
      </c>
      <c r="E93" s="7" t="s">
        <v>129</v>
      </c>
    </row>
    <row r="94" spans="1:5" ht="13" customHeight="1" x14ac:dyDescent="0.2">
      <c r="A94" s="5">
        <v>0</v>
      </c>
      <c r="B94" s="5" t="s">
        <v>9</v>
      </c>
      <c r="C94" s="5" t="str">
        <f>CONCATENATE(REPT("     ",CPS.Thermostat.Physical!A94)," ",CPS.Thermostat.Physical!B94)</f>
        <v xml:space="preserve"> Boundaries</v>
      </c>
      <c r="D94" s="5" t="s">
        <v>187</v>
      </c>
      <c r="E94" s="6" t="s">
        <v>121</v>
      </c>
    </row>
    <row r="95" spans="1:5" ht="30" x14ac:dyDescent="0.2">
      <c r="A95" s="7">
        <v>1</v>
      </c>
      <c r="B95" s="7" t="s">
        <v>79</v>
      </c>
      <c r="C95" s="7" t="str">
        <f>CONCATENATE(REPT("     ",CPS.Thermostat.Physical!A95)," ",CPS.Thermostat.Physical!B95)</f>
        <v xml:space="preserve">      behavioral</v>
      </c>
      <c r="D95" s="7" t="s">
        <v>187</v>
      </c>
      <c r="E95" s="7" t="s">
        <v>80</v>
      </c>
    </row>
    <row r="96" spans="1:5" x14ac:dyDescent="0.2">
      <c r="A96" s="7">
        <v>1</v>
      </c>
      <c r="B96" s="7" t="s">
        <v>81</v>
      </c>
      <c r="C96" s="7" t="str">
        <f>CONCATENATE(REPT("     ",CPS.Thermostat.Physical!A96)," ",CPS.Thermostat.Physical!B96)</f>
        <v xml:space="preserve">      networkability</v>
      </c>
      <c r="D96" s="7" t="s">
        <v>187</v>
      </c>
      <c r="E96" s="7" t="s">
        <v>82</v>
      </c>
    </row>
    <row r="97" spans="1:5" x14ac:dyDescent="0.2">
      <c r="A97" s="7">
        <v>1</v>
      </c>
      <c r="B97" s="7" t="s">
        <v>83</v>
      </c>
      <c r="C97" s="7" t="str">
        <f>CONCATENATE(REPT("     ",CPS.Thermostat.Physical!A97)," ",CPS.Thermostat.Physical!B97)</f>
        <v xml:space="preserve">      responsibility</v>
      </c>
      <c r="D97" s="7" t="s">
        <v>187</v>
      </c>
      <c r="E97" s="7" t="s">
        <v>84</v>
      </c>
    </row>
    <row r="98" spans="1:5" ht="45" x14ac:dyDescent="0.2">
      <c r="A98" s="5">
        <v>0</v>
      </c>
      <c r="B98" s="5" t="s">
        <v>10</v>
      </c>
      <c r="C98" s="5" t="str">
        <f>CONCATENATE(REPT("     ",CPS.Thermostat.Physical!A98)," ",CPS.Thermostat.Physical!B98)</f>
        <v xml:space="preserve"> Composition</v>
      </c>
      <c r="D98" s="5" t="s">
        <v>187</v>
      </c>
      <c r="E98" s="6" t="s">
        <v>122</v>
      </c>
    </row>
    <row r="99" spans="1:5" ht="30" x14ac:dyDescent="0.2">
      <c r="A99" s="7">
        <v>1</v>
      </c>
      <c r="B99" s="7" t="s">
        <v>85</v>
      </c>
      <c r="C99" s="7" t="str">
        <f>CONCATENATE(REPT("     ",CPS.Thermostat.Physical!A99)," ",CPS.Thermostat.Physical!B99)</f>
        <v xml:space="preserve">      adaptability</v>
      </c>
      <c r="D99" s="7" t="s">
        <v>187</v>
      </c>
      <c r="E99" s="7" t="s">
        <v>86</v>
      </c>
    </row>
    <row r="100" spans="1:5" ht="30" x14ac:dyDescent="0.2">
      <c r="A100" s="7">
        <v>1</v>
      </c>
      <c r="B100" s="7" t="s">
        <v>87</v>
      </c>
      <c r="C100" s="7" t="str">
        <f>CONCATENATE(REPT("     ",CPS.Thermostat.Physical!A100)," ",CPS.Thermostat.Physical!B100)</f>
        <v xml:space="preserve">      complexity</v>
      </c>
      <c r="D100" s="7" t="s">
        <v>187</v>
      </c>
      <c r="E100" s="7" t="s">
        <v>88</v>
      </c>
    </row>
    <row r="101" spans="1:5" x14ac:dyDescent="0.2">
      <c r="A101" s="7">
        <v>1</v>
      </c>
      <c r="B101" s="7" t="s">
        <v>89</v>
      </c>
      <c r="C101" s="7" t="str">
        <f>CONCATENATE(REPT("     ",CPS.Thermostat.Physical!A101)," ",CPS.Thermostat.Physical!B101)</f>
        <v xml:space="preserve">      constructivity</v>
      </c>
      <c r="D101" s="7" t="s">
        <v>187</v>
      </c>
      <c r="E101" s="7" t="s">
        <v>90</v>
      </c>
    </row>
    <row r="102" spans="1:5" ht="45" x14ac:dyDescent="0.2">
      <c r="A102" s="7">
        <v>1</v>
      </c>
      <c r="B102" s="7" t="s">
        <v>91</v>
      </c>
      <c r="C102" s="7" t="str">
        <f>CONCATENATE(REPT("     ",CPS.Thermostat.Physical!A102)," ",CPS.Thermostat.Physical!B102)</f>
        <v xml:space="preserve">      discoverability</v>
      </c>
      <c r="D102" s="7" t="s">
        <v>187</v>
      </c>
      <c r="E102" s="7" t="s">
        <v>92</v>
      </c>
    </row>
    <row r="103" spans="1:5" x14ac:dyDescent="0.2">
      <c r="A103" s="5">
        <v>0</v>
      </c>
      <c r="B103" s="5" t="s">
        <v>11</v>
      </c>
      <c r="C103" s="5" t="str">
        <f>CONCATENATE(REPT("     ",CPS.Thermostat.Physical!A103)," ",CPS.Thermostat.Physical!B103)</f>
        <v xml:space="preserve"> Lifecycle</v>
      </c>
      <c r="D103" s="5" t="s">
        <v>187</v>
      </c>
      <c r="E103" s="6" t="s">
        <v>123</v>
      </c>
    </row>
    <row r="104" spans="1:5" x14ac:dyDescent="0.2">
      <c r="A104" s="7">
        <v>1</v>
      </c>
      <c r="B104" s="7" t="s">
        <v>93</v>
      </c>
      <c r="C104" s="7" t="str">
        <f>CONCATENATE(REPT("     ",CPS.Thermostat.Physical!A104)," ",CPS.Thermostat.Physical!B104)</f>
        <v xml:space="preserve">      deployability</v>
      </c>
      <c r="D104" s="7" t="s">
        <v>187</v>
      </c>
      <c r="E104" s="7" t="s">
        <v>94</v>
      </c>
    </row>
    <row r="105" spans="1:5" x14ac:dyDescent="0.2">
      <c r="A105" s="7">
        <v>1</v>
      </c>
      <c r="B105" s="7" t="s">
        <v>95</v>
      </c>
      <c r="C105" s="7" t="str">
        <f>CONCATENATE(REPT("     ",CPS.Thermostat.Physical!A105)," ",CPS.Thermostat.Physical!B105)</f>
        <v xml:space="preserve">      disposability</v>
      </c>
      <c r="D105" s="7" t="s">
        <v>187</v>
      </c>
      <c r="E105" s="7" t="s">
        <v>96</v>
      </c>
    </row>
    <row r="106" spans="1:5" ht="30" x14ac:dyDescent="0.2">
      <c r="A106" s="7">
        <v>1</v>
      </c>
      <c r="B106" s="7" t="s">
        <v>97</v>
      </c>
      <c r="C106" s="7" t="str">
        <f>CONCATENATE(REPT("     ",CPS.Thermostat.Physical!A106)," ",CPS.Thermostat.Physical!B106)</f>
        <v xml:space="preserve">      engineerability</v>
      </c>
      <c r="D106" s="7" t="s">
        <v>187</v>
      </c>
      <c r="E106" s="7" t="s">
        <v>98</v>
      </c>
    </row>
    <row r="107" spans="1:5" x14ac:dyDescent="0.2">
      <c r="A107" s="7">
        <v>1</v>
      </c>
      <c r="B107" s="7" t="s">
        <v>99</v>
      </c>
      <c r="C107" s="7" t="str">
        <f>CONCATENATE(REPT("     ",CPS.Thermostat.Physical!A107)," ",CPS.Thermostat.Physical!B107)</f>
        <v xml:space="preserve">      maintainability</v>
      </c>
      <c r="D107" s="7" t="s">
        <v>187</v>
      </c>
      <c r="E107" s="7" t="s">
        <v>100</v>
      </c>
    </row>
    <row r="108" spans="1:5" x14ac:dyDescent="0.2">
      <c r="A108" s="7">
        <v>1</v>
      </c>
      <c r="B108" s="7" t="s">
        <v>101</v>
      </c>
      <c r="C108" s="7" t="str">
        <f>CONCATENATE(REPT("     ",CPS.Thermostat.Physical!A108)," ",CPS.Thermostat.Physical!B108)</f>
        <v xml:space="preserve">      operatability</v>
      </c>
      <c r="D108" s="7" t="s">
        <v>187</v>
      </c>
      <c r="E108" s="7" t="s">
        <v>102</v>
      </c>
    </row>
    <row r="109" spans="1:5" x14ac:dyDescent="0.2">
      <c r="A109" s="7">
        <v>1</v>
      </c>
      <c r="B109" s="7" t="s">
        <v>103</v>
      </c>
      <c r="C109" s="7" t="str">
        <f>CONCATENATE(REPT("     ",CPS.Thermostat.Physical!A109)," ",CPS.Thermostat.Physical!B109)</f>
        <v xml:space="preserve">      procureability</v>
      </c>
      <c r="D109" s="7" t="s">
        <v>187</v>
      </c>
      <c r="E109" s="7" t="s">
        <v>104</v>
      </c>
    </row>
    <row r="110" spans="1:5" x14ac:dyDescent="0.2">
      <c r="A110" s="7">
        <v>1</v>
      </c>
      <c r="B110" s="7" t="s">
        <v>105</v>
      </c>
      <c r="C110" s="7" t="str">
        <f>CONCATENATE(REPT("     ",CPS.Thermostat.Physical!A110)," ",CPS.Thermostat.Physical!B110)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J110"/>
  <sheetViews>
    <sheetView zoomScale="85" zoomScaleNormal="85" zoomScalePageLayoutView="85" workbookViewId="0">
      <pane ySplit="4" topLeftCell="A5" activePane="bottomLeft" state="frozen"/>
      <selection pane="bottomLeft" activeCell="G29" sqref="G29"/>
    </sheetView>
  </sheetViews>
  <sheetFormatPr baseColWidth="10" defaultColWidth="8.83203125" defaultRowHeight="15" x14ac:dyDescent="0.2"/>
  <cols>
    <col min="1" max="1" width="15.33203125" style="3" customWidth="1"/>
    <col min="2" max="2" width="15.33203125" style="3" hidden="1" customWidth="1"/>
    <col min="3" max="3" width="40.5" style="3" customWidth="1"/>
    <col min="4" max="4" width="40.5" style="3" hidden="1" customWidth="1"/>
    <col min="5" max="5" width="105.83203125" style="3" customWidth="1"/>
    <col min="6" max="7" width="50.33203125" style="3" customWidth="1"/>
    <col min="8" max="8" width="12.6640625" style="3" customWidth="1"/>
    <col min="9" max="9" width="35.5" style="3" customWidth="1"/>
    <col min="10" max="10" width="82.1640625" style="3" customWidth="1"/>
    <col min="11" max="16384" width="8.83203125" style="3"/>
  </cols>
  <sheetData>
    <row r="1" spans="1:10" ht="34" x14ac:dyDescent="0.2">
      <c r="A1" s="8">
        <f ca="1">NOW()</f>
        <v>42636.659261111112</v>
      </c>
      <c r="E1" s="4" t="s">
        <v>124</v>
      </c>
    </row>
    <row r="3" spans="1:10" x14ac:dyDescent="0.2">
      <c r="F3" s="9" t="s">
        <v>238</v>
      </c>
      <c r="G3" s="9"/>
      <c r="H3" s="9"/>
      <c r="I3" s="9"/>
      <c r="J3" s="9"/>
    </row>
    <row r="4" spans="1:10" s="2" customFormat="1" ht="24" x14ac:dyDescent="0.2">
      <c r="A4" s="1" t="s">
        <v>0</v>
      </c>
      <c r="B4" s="1" t="s">
        <v>165</v>
      </c>
      <c r="C4" s="1" t="s">
        <v>225</v>
      </c>
      <c r="D4" s="1" t="s">
        <v>186</v>
      </c>
      <c r="E4" s="1" t="s">
        <v>1</v>
      </c>
      <c r="F4" s="2" t="s">
        <v>235</v>
      </c>
      <c r="G4" s="2" t="s">
        <v>236</v>
      </c>
      <c r="H4" s="2" t="s">
        <v>237</v>
      </c>
      <c r="I4" s="2" t="s">
        <v>233</v>
      </c>
      <c r="J4" s="2" t="s">
        <v>234</v>
      </c>
    </row>
    <row r="5" spans="1:10" x14ac:dyDescent="0.2">
      <c r="A5" s="5">
        <v>0</v>
      </c>
      <c r="B5" s="5" t="s">
        <v>3</v>
      </c>
      <c r="C5" s="5" t="str">
        <f>CONCATENATE(REPT("     ",CPS.Thermostat.Cyber!A5)," ",CPS.Thermostat.Cyber!B5)</f>
        <v xml:space="preserve"> Functional</v>
      </c>
      <c r="D5" s="5" t="s">
        <v>187</v>
      </c>
      <c r="E5" s="6" t="s">
        <v>115</v>
      </c>
    </row>
    <row r="6" spans="1:10" x14ac:dyDescent="0.2">
      <c r="A6" s="7">
        <v>1</v>
      </c>
      <c r="B6" s="7" t="s">
        <v>12</v>
      </c>
      <c r="C6" s="7" t="str">
        <f>CONCATENATE(REPT("     ",CPS.Thermostat.Cyber!A6)," ",CPS.Thermostat.Cyber!B6)</f>
        <v xml:space="preserve">      actuation</v>
      </c>
      <c r="D6" s="7" t="s">
        <v>187</v>
      </c>
      <c r="E6" s="7" t="s">
        <v>13</v>
      </c>
    </row>
    <row r="7" spans="1:10" x14ac:dyDescent="0.2">
      <c r="A7" s="7">
        <v>1</v>
      </c>
      <c r="B7" s="7" t="s">
        <v>14</v>
      </c>
      <c r="C7" s="7" t="str">
        <f>CONCATENATE(REPT("     ",CPS.Thermostat.Cyber!A7)," ",CPS.Thermostat.Cyber!B7)</f>
        <v xml:space="preserve">      communication</v>
      </c>
      <c r="D7" s="7" t="s">
        <v>187</v>
      </c>
      <c r="E7" s="7" t="s">
        <v>15</v>
      </c>
    </row>
    <row r="8" spans="1:10" ht="30" x14ac:dyDescent="0.2">
      <c r="A8" s="7">
        <v>2</v>
      </c>
      <c r="B8" s="7" t="s">
        <v>166</v>
      </c>
      <c r="C8" s="7" t="str">
        <f>CONCATENATE(REPT("     ",CPS.Thermostat.Cyber!A8)," ",CPS.Thermostat.Cyber!B8)</f>
        <v xml:space="preserve">           Syntactic Interoperability</v>
      </c>
      <c r="D8" s="7" t="s">
        <v>167</v>
      </c>
      <c r="E8" s="7" t="s">
        <v>202</v>
      </c>
    </row>
    <row r="9" spans="1:10" x14ac:dyDescent="0.2">
      <c r="A9" s="7">
        <v>3</v>
      </c>
      <c r="B9" s="7" t="s">
        <v>168</v>
      </c>
      <c r="C9" s="7" t="str">
        <f>CONCATENATE(REPT("     ",CPS.Thermostat.Cyber!A9)," ",CPS.Thermostat.Cyber!B9)</f>
        <v xml:space="preserve">                OSI-Application</v>
      </c>
      <c r="D9" s="7" t="s">
        <v>169</v>
      </c>
      <c r="E9" s="7" t="s">
        <v>203</v>
      </c>
    </row>
    <row r="10" spans="1:10" x14ac:dyDescent="0.2">
      <c r="A10" s="7">
        <v>3</v>
      </c>
      <c r="B10" s="7" t="s">
        <v>170</v>
      </c>
      <c r="C10" s="7" t="str">
        <f>CONCATENATE(REPT("     ",CPS.Thermostat.Cyber!A10)," ",CPS.Thermostat.Cyber!B10)</f>
        <v xml:space="preserve">                OSI-Presentation</v>
      </c>
      <c r="D10" s="7" t="s">
        <v>171</v>
      </c>
      <c r="E10" s="7" t="s">
        <v>204</v>
      </c>
    </row>
    <row r="11" spans="1:10" ht="30" x14ac:dyDescent="0.2">
      <c r="A11" s="7">
        <v>2</v>
      </c>
      <c r="B11" s="7" t="s">
        <v>172</v>
      </c>
      <c r="C11" s="7" t="str">
        <f>CONCATENATE(REPT("     ",CPS.Thermostat.Cyber!A11)," ",CPS.Thermostat.Cyber!B11)</f>
        <v xml:space="preserve">           Network Interoperability</v>
      </c>
      <c r="D11" s="7" t="s">
        <v>173</v>
      </c>
      <c r="E11" s="7" t="s">
        <v>205</v>
      </c>
    </row>
    <row r="12" spans="1:10" x14ac:dyDescent="0.2">
      <c r="A12" s="7">
        <v>3</v>
      </c>
      <c r="B12" s="7" t="s">
        <v>174</v>
      </c>
      <c r="C12" s="7" t="str">
        <f>CONCATENATE(REPT("     ",CPS.Thermostat.Cyber!A12)," ",CPS.Thermostat.Cyber!B12)</f>
        <v xml:space="preserve">                OSI-Session</v>
      </c>
      <c r="D12" s="7" t="s">
        <v>175</v>
      </c>
      <c r="E12" s="7" t="s">
        <v>226</v>
      </c>
    </row>
    <row r="13" spans="1:10" x14ac:dyDescent="0.2">
      <c r="A13" s="7">
        <v>3</v>
      </c>
      <c r="B13" s="7" t="s">
        <v>176</v>
      </c>
      <c r="C13" s="7" t="str">
        <f>CONCATENATE(REPT("     ",CPS.Thermostat.Cyber!A13)," ",CPS.Thermostat.Cyber!B13)</f>
        <v xml:space="preserve">                OSI-Transport</v>
      </c>
      <c r="D13" s="7" t="s">
        <v>177</v>
      </c>
      <c r="E13" s="7" t="s">
        <v>206</v>
      </c>
    </row>
    <row r="14" spans="1:10" x14ac:dyDescent="0.2">
      <c r="A14" s="7">
        <v>3</v>
      </c>
      <c r="B14" s="7" t="s">
        <v>178</v>
      </c>
      <c r="C14" s="7" t="str">
        <f>CONCATENATE(REPT("     ",CPS.Thermostat.Cyber!A14)," ",CPS.Thermostat.Cyber!B14)</f>
        <v xml:space="preserve">                OSI-Network</v>
      </c>
      <c r="D14" s="7" t="s">
        <v>179</v>
      </c>
      <c r="E14" s="7" t="s">
        <v>207</v>
      </c>
    </row>
    <row r="15" spans="1:10" x14ac:dyDescent="0.2">
      <c r="A15" s="7">
        <v>2</v>
      </c>
      <c r="B15" s="7" t="s">
        <v>180</v>
      </c>
      <c r="C15" s="7" t="str">
        <f>CONCATENATE(REPT("     ",CPS.Thermostat.Cyber!A15)," ",CPS.Thermostat.Cyber!B15)</f>
        <v xml:space="preserve">           Basic Connectivity</v>
      </c>
      <c r="D15" s="7" t="s">
        <v>181</v>
      </c>
      <c r="E15" s="7" t="s">
        <v>208</v>
      </c>
    </row>
    <row r="16" spans="1:10" x14ac:dyDescent="0.2">
      <c r="A16" s="7">
        <v>3</v>
      </c>
      <c r="B16" s="7" t="s">
        <v>182</v>
      </c>
      <c r="C16" s="7" t="str">
        <f>CONCATENATE(REPT("     ",CPS.Thermostat.Cyber!A16)," ",CPS.Thermostat.Cyber!B16)</f>
        <v xml:space="preserve">                OSI-Data Link</v>
      </c>
      <c r="D16" s="7" t="s">
        <v>183</v>
      </c>
      <c r="E16" s="7" t="s">
        <v>209</v>
      </c>
    </row>
    <row r="17" spans="1:5" x14ac:dyDescent="0.2">
      <c r="A17" s="7">
        <v>3</v>
      </c>
      <c r="B17" s="7" t="s">
        <v>184</v>
      </c>
      <c r="C17" s="7" t="str">
        <f>CONCATENATE(REPT("     ",CPS.Thermostat.Cyber!A17)," ",CPS.Thermostat.Cyber!B17)</f>
        <v xml:space="preserve">                OSI-Physical</v>
      </c>
      <c r="D17" s="7" t="s">
        <v>185</v>
      </c>
      <c r="E17" s="7" t="s">
        <v>210</v>
      </c>
    </row>
    <row r="18" spans="1:5" ht="45" x14ac:dyDescent="0.2">
      <c r="A18" s="7">
        <v>1</v>
      </c>
      <c r="B18" s="7" t="s">
        <v>16</v>
      </c>
      <c r="C18" s="7" t="str">
        <f>CONCATENATE(REPT("     ",CPS.Thermostat.Cyber!A18)," ",CPS.Thermostat.Cyber!B18)</f>
        <v xml:space="preserve">      controllability</v>
      </c>
      <c r="D18" s="7" t="s">
        <v>187</v>
      </c>
      <c r="E18" s="7" t="s">
        <v>17</v>
      </c>
    </row>
    <row r="19" spans="1:5" x14ac:dyDescent="0.2">
      <c r="A19" s="7">
        <v>1</v>
      </c>
      <c r="B19" s="7" t="s">
        <v>18</v>
      </c>
      <c r="C19" s="7" t="str">
        <f>CONCATENATE(REPT("     ",CPS.Thermostat.Cyber!A19)," ",CPS.Thermostat.Cyber!B19)</f>
        <v xml:space="preserve">      functionality</v>
      </c>
      <c r="D19" s="7" t="s">
        <v>187</v>
      </c>
      <c r="E19" s="7" t="s">
        <v>19</v>
      </c>
    </row>
    <row r="20" spans="1:5" x14ac:dyDescent="0.2">
      <c r="A20" s="7">
        <v>1</v>
      </c>
      <c r="B20" s="7" t="s">
        <v>20</v>
      </c>
      <c r="C20" s="7" t="str">
        <f>CONCATENATE(REPT("     ",CPS.Thermostat.Cyber!A20)," ",CPS.Thermostat.Cyber!B20)</f>
        <v xml:space="preserve">      measurability</v>
      </c>
      <c r="D20" s="7" t="s">
        <v>187</v>
      </c>
      <c r="E20" s="7" t="s">
        <v>21</v>
      </c>
    </row>
    <row r="21" spans="1:5" ht="30" x14ac:dyDescent="0.2">
      <c r="A21" s="7">
        <v>1</v>
      </c>
      <c r="B21" s="7" t="s">
        <v>22</v>
      </c>
      <c r="C21" s="7" t="str">
        <f>CONCATENATE(REPT("     ",CPS.Thermostat.Cyber!A21)," ",CPS.Thermostat.Cyber!B21)</f>
        <v xml:space="preserve">      monitorability</v>
      </c>
      <c r="D21" s="7" t="s">
        <v>187</v>
      </c>
      <c r="E21" s="7" t="s">
        <v>23</v>
      </c>
    </row>
    <row r="22" spans="1:5" x14ac:dyDescent="0.2">
      <c r="A22" s="7">
        <v>1</v>
      </c>
      <c r="B22" s="7" t="s">
        <v>24</v>
      </c>
      <c r="C22" s="7" t="str">
        <f>CONCATENATE(REPT("     ",CPS.Thermostat.Cyber!A22)," ",CPS.Thermostat.Cyber!B22)</f>
        <v xml:space="preserve">      performance</v>
      </c>
      <c r="D22" s="7" t="s">
        <v>187</v>
      </c>
      <c r="E22" s="7" t="s">
        <v>25</v>
      </c>
    </row>
    <row r="23" spans="1:5" x14ac:dyDescent="0.2">
      <c r="A23" s="7">
        <v>1</v>
      </c>
      <c r="B23" s="7" t="s">
        <v>26</v>
      </c>
      <c r="C23" s="7" t="str">
        <f>CONCATENATE(REPT("     ",CPS.Thermostat.Cyber!A23)," ",CPS.Thermostat.Cyber!B23)</f>
        <v xml:space="preserve">      physical</v>
      </c>
      <c r="D23" s="7" t="s">
        <v>187</v>
      </c>
      <c r="E23" s="7" t="s">
        <v>27</v>
      </c>
    </row>
    <row r="24" spans="1:5" ht="45" x14ac:dyDescent="0.2">
      <c r="A24" s="7">
        <v>1</v>
      </c>
      <c r="B24" s="7" t="s">
        <v>28</v>
      </c>
      <c r="C24" s="7" t="str">
        <f>CONCATENATE(REPT("     ",CPS.Thermostat.Cyber!A24)," ",CPS.Thermostat.Cyber!B24)</f>
        <v xml:space="preserve">      physical context</v>
      </c>
      <c r="D24" s="7" t="s">
        <v>187</v>
      </c>
      <c r="E24" s="7" t="s">
        <v>29</v>
      </c>
    </row>
    <row r="25" spans="1:5" x14ac:dyDescent="0.2">
      <c r="A25" s="7">
        <v>1</v>
      </c>
      <c r="B25" s="7" t="s">
        <v>30</v>
      </c>
      <c r="C25" s="7" t="str">
        <f>CONCATENATE(REPT("     ",CPS.Thermostat.Cyber!A25)," ",CPS.Thermostat.Cyber!B25)</f>
        <v xml:space="preserve">      sensing</v>
      </c>
      <c r="D25" s="7" t="s">
        <v>187</v>
      </c>
      <c r="E25" s="7" t="s">
        <v>31</v>
      </c>
    </row>
    <row r="26" spans="1:5" ht="90" x14ac:dyDescent="0.2">
      <c r="A26" s="7">
        <v>1</v>
      </c>
      <c r="B26" s="7" t="s">
        <v>32</v>
      </c>
      <c r="C26" s="7" t="str">
        <f>CONCATENATE(REPT("     ",CPS.Thermostat.Cyber!A26)," ",CPS.Thermostat.Cyber!B26)</f>
        <v xml:space="preserve">      uncertainty</v>
      </c>
      <c r="D26" s="7" t="s">
        <v>187</v>
      </c>
      <c r="E26" s="7" t="s">
        <v>33</v>
      </c>
    </row>
    <row r="27" spans="1:5" x14ac:dyDescent="0.2">
      <c r="A27" s="7">
        <v>1</v>
      </c>
      <c r="B27" s="7" t="s">
        <v>188</v>
      </c>
      <c r="C27" s="7" t="str">
        <f>CONCATENATE(REPT("     ",CPS.Thermostat.Cyber!A27)," ",CPS.Thermostat.Cyber!B27)</f>
        <v xml:space="preserve">      statesAndModes</v>
      </c>
      <c r="D27" s="7" t="s">
        <v>189</v>
      </c>
      <c r="E27" s="7" t="s">
        <v>224</v>
      </c>
    </row>
    <row r="28" spans="1:5" x14ac:dyDescent="0.2">
      <c r="A28" s="7">
        <v>1</v>
      </c>
      <c r="B28" s="7" t="s">
        <v>222</v>
      </c>
      <c r="C28" s="7" t="str">
        <f>CONCATENATE(REPT("     ",CPS.Thermostat.Cyber!A28)," ",CPS.Thermostat.Cyber!B28)</f>
        <v xml:space="preserve">      manageability</v>
      </c>
      <c r="D28" s="7"/>
      <c r="E28" s="7" t="s">
        <v>223</v>
      </c>
    </row>
    <row r="29" spans="1:5" ht="44" customHeight="1" x14ac:dyDescent="0.2">
      <c r="A29" s="7">
        <v>2</v>
      </c>
      <c r="B29" s="7" t="s">
        <v>194</v>
      </c>
      <c r="C29" s="7" t="str">
        <f>CONCATENATE(REPT("     ",CPS.Thermostat.Cyber!A29)," ",CPS.Thermostat.Cyber!B29)</f>
        <v xml:space="preserve">           configurationManagement</v>
      </c>
      <c r="D29" s="7" t="s">
        <v>190</v>
      </c>
      <c r="E29" s="7" t="s">
        <v>227</v>
      </c>
    </row>
    <row r="30" spans="1:5" ht="30" x14ac:dyDescent="0.2">
      <c r="A30" s="7">
        <v>2</v>
      </c>
      <c r="B30" s="7" t="s">
        <v>195</v>
      </c>
      <c r="C30" s="7" t="str">
        <f>CONCATENATE(REPT("     ",CPS.Thermostat.Cyber!A30)," ",CPS.Thermostat.Cyber!B30)</f>
        <v xml:space="preserve">           configurationForLeastFFunctionality</v>
      </c>
      <c r="D30" s="7" t="s">
        <v>191</v>
      </c>
      <c r="E30" s="7" t="s">
        <v>212</v>
      </c>
    </row>
    <row r="31" spans="1:5" ht="30" x14ac:dyDescent="0.2">
      <c r="A31" s="7">
        <v>2</v>
      </c>
      <c r="B31" s="7" t="s">
        <v>192</v>
      </c>
      <c r="C31" s="7" t="str">
        <f>CONCATENATE(REPT("     ",CPS.Thermostat.Cyber!A31)," ",CPS.Thermostat.Cyber!B31)</f>
        <v xml:space="preserve">           Component Inventory</v>
      </c>
      <c r="D31" s="7" t="s">
        <v>193</v>
      </c>
      <c r="E31" s="7" t="s">
        <v>213</v>
      </c>
    </row>
    <row r="32" spans="1:5" x14ac:dyDescent="0.2">
      <c r="A32" s="5">
        <v>0</v>
      </c>
      <c r="B32" s="5" t="s">
        <v>4</v>
      </c>
      <c r="C32" s="5" t="str">
        <f>CONCATENATE(REPT("     ",CPS.Thermostat.Cyber!A32)," ",CPS.Thermostat.Cyber!B32)</f>
        <v xml:space="preserve"> Business</v>
      </c>
      <c r="D32" s="5" t="s">
        <v>187</v>
      </c>
      <c r="E32" s="6" t="s">
        <v>116</v>
      </c>
    </row>
    <row r="33" spans="1:5" x14ac:dyDescent="0.2">
      <c r="A33" s="7">
        <v>1</v>
      </c>
      <c r="B33" s="7" t="s">
        <v>34</v>
      </c>
      <c r="C33" s="7" t="str">
        <f>CONCATENATE(REPT("     ",CPS.Thermostat.Cyber!A33)," ",CPS.Thermostat.Cyber!B33)</f>
        <v xml:space="preserve">      enterprise</v>
      </c>
      <c r="D33" s="7" t="s">
        <v>187</v>
      </c>
      <c r="E33" s="7" t="s">
        <v>35</v>
      </c>
    </row>
    <row r="34" spans="1:5" x14ac:dyDescent="0.2">
      <c r="A34" s="7">
        <v>1</v>
      </c>
      <c r="B34" s="7" t="s">
        <v>2</v>
      </c>
      <c r="C34" s="7" t="str">
        <f>CONCATENATE(REPT("     ",CPS.Thermostat.Cyber!A34)," ",CPS.Thermostat.Cyber!B34)</f>
        <v xml:space="preserve">      cost</v>
      </c>
      <c r="D34" s="7" t="s">
        <v>187</v>
      </c>
      <c r="E34" s="7" t="s">
        <v>36</v>
      </c>
    </row>
    <row r="35" spans="1:5" x14ac:dyDescent="0.2">
      <c r="A35" s="7">
        <v>1</v>
      </c>
      <c r="B35" s="7" t="s">
        <v>37</v>
      </c>
      <c r="C35" s="7" t="str">
        <f>CONCATENATE(REPT("     ",CPS.Thermostat.Cyber!A35)," ",CPS.Thermostat.Cyber!B35)</f>
        <v xml:space="preserve">      environment</v>
      </c>
      <c r="D35" s="7" t="s">
        <v>187</v>
      </c>
      <c r="E35" s="7" t="s">
        <v>197</v>
      </c>
    </row>
    <row r="36" spans="1:5" x14ac:dyDescent="0.2">
      <c r="A36" s="7">
        <v>1</v>
      </c>
      <c r="B36" s="7" t="s">
        <v>38</v>
      </c>
      <c r="C36" s="7" t="str">
        <f>CONCATENATE(REPT("     ",CPS.Thermostat.Cyber!A36)," ",CPS.Thermostat.Cyber!B36)</f>
        <v xml:space="preserve">      policy</v>
      </c>
      <c r="D36" s="7" t="s">
        <v>187</v>
      </c>
      <c r="E36" s="7" t="s">
        <v>39</v>
      </c>
    </row>
    <row r="37" spans="1:5" x14ac:dyDescent="0.2">
      <c r="A37" s="7">
        <v>1</v>
      </c>
      <c r="B37" s="7" t="s">
        <v>40</v>
      </c>
      <c r="C37" s="7" t="str">
        <f>CONCATENATE(REPT("     ",CPS.Thermostat.Cyber!A37)," ",CPS.Thermostat.Cyber!B37)</f>
        <v xml:space="preserve">      quality</v>
      </c>
      <c r="D37" s="7" t="s">
        <v>187</v>
      </c>
      <c r="E37" s="7" t="s">
        <v>41</v>
      </c>
    </row>
    <row r="38" spans="1:5" x14ac:dyDescent="0.2">
      <c r="A38" s="7">
        <v>1</v>
      </c>
      <c r="B38" s="7" t="s">
        <v>42</v>
      </c>
      <c r="C38" s="7" t="str">
        <f>CONCATENATE(REPT("     ",CPS.Thermostat.Cyber!A38)," ",CPS.Thermostat.Cyber!B38)</f>
        <v xml:space="preserve">      regulatory</v>
      </c>
      <c r="D38" s="7" t="s">
        <v>187</v>
      </c>
      <c r="E38" s="7" t="s">
        <v>43</v>
      </c>
    </row>
    <row r="39" spans="1:5" x14ac:dyDescent="0.2">
      <c r="A39" s="7">
        <v>1</v>
      </c>
      <c r="B39" s="7" t="s">
        <v>44</v>
      </c>
      <c r="C39" s="7" t="str">
        <f>CONCATENATE(REPT("     ",CPS.Thermostat.Cyber!A39)," ",CPS.Thermostat.Cyber!B39)</f>
        <v xml:space="preserve">      time to market</v>
      </c>
      <c r="D39" s="7" t="s">
        <v>187</v>
      </c>
      <c r="E39" s="7" t="s">
        <v>45</v>
      </c>
    </row>
    <row r="40" spans="1:5" ht="30" x14ac:dyDescent="0.2">
      <c r="A40" s="7">
        <v>1</v>
      </c>
      <c r="B40" s="7" t="s">
        <v>46</v>
      </c>
      <c r="C40" s="7" t="str">
        <f>CONCATENATE(REPT("     ",CPS.Thermostat.Cyber!A40)," ",CPS.Thermostat.Cyber!B40)</f>
        <v xml:space="preserve">      utility</v>
      </c>
      <c r="D40" s="7" t="s">
        <v>187</v>
      </c>
      <c r="E40" s="7" t="s">
        <v>47</v>
      </c>
    </row>
    <row r="41" spans="1:5" x14ac:dyDescent="0.2">
      <c r="A41" s="7">
        <v>1</v>
      </c>
      <c r="B41" s="7" t="s">
        <v>196</v>
      </c>
      <c r="C41" s="7" t="str">
        <f>CONCATENATE(REPT("     ",CPS.Thermostat.Cyber!A41)," ",CPS.Thermostat.Cyber!B41)</f>
        <v xml:space="preserve">      Planning</v>
      </c>
      <c r="D41" s="7"/>
      <c r="E41" s="7" t="s">
        <v>211</v>
      </c>
    </row>
    <row r="42" spans="1:5" x14ac:dyDescent="0.2">
      <c r="A42" s="5">
        <v>0</v>
      </c>
      <c r="B42" s="5" t="s">
        <v>5</v>
      </c>
      <c r="C42" s="5" t="str">
        <f>CONCATENATE(REPT("     ",CPS.Thermostat.Cyber!A42)," ",CPS.Thermostat.Cyber!B42)</f>
        <v xml:space="preserve"> Human</v>
      </c>
      <c r="D42" s="5" t="s">
        <v>187</v>
      </c>
      <c r="E42" s="6" t="s">
        <v>117</v>
      </c>
    </row>
    <row r="43" spans="1:5" x14ac:dyDescent="0.2">
      <c r="A43" s="7">
        <v>1</v>
      </c>
      <c r="B43" s="7" t="s">
        <v>48</v>
      </c>
      <c r="C43" s="7" t="str">
        <f>CONCATENATE(REPT("     ",CPS.Thermostat.Cyber!A43)," ",CPS.Thermostat.Cyber!B43)</f>
        <v xml:space="preserve">      human factors</v>
      </c>
      <c r="D43" s="7" t="s">
        <v>187</v>
      </c>
      <c r="E43" s="7" t="s">
        <v>49</v>
      </c>
    </row>
    <row r="44" spans="1:5" ht="45" x14ac:dyDescent="0.2">
      <c r="A44" s="7">
        <v>1</v>
      </c>
      <c r="B44" s="7" t="s">
        <v>50</v>
      </c>
      <c r="C44" s="7" t="str">
        <f>CONCATENATE(REPT("     ",CPS.Thermostat.Cyber!A44)," ",CPS.Thermostat.Cyber!B44)</f>
        <v xml:space="preserve">      usability</v>
      </c>
      <c r="D44" s="7" t="s">
        <v>187</v>
      </c>
      <c r="E44" s="7" t="s">
        <v>51</v>
      </c>
    </row>
    <row r="45" spans="1:5" x14ac:dyDescent="0.2">
      <c r="A45" s="5">
        <v>0</v>
      </c>
      <c r="B45" s="5" t="s">
        <v>6</v>
      </c>
      <c r="C45" s="5" t="str">
        <f>CONCATENATE(REPT("     ",CPS.Thermostat.Cyber!A45)," ",CPS.Thermostat.Cyber!B45)</f>
        <v xml:space="preserve"> Trustworthiness</v>
      </c>
      <c r="D45" s="5" t="s">
        <v>187</v>
      </c>
      <c r="E45" s="6" t="s">
        <v>118</v>
      </c>
    </row>
    <row r="46" spans="1:5" ht="75" x14ac:dyDescent="0.2">
      <c r="A46" s="7">
        <v>1</v>
      </c>
      <c r="B46" s="7" t="s">
        <v>52</v>
      </c>
      <c r="C46" s="7" t="str">
        <f>CONCATENATE(REPT("     ",CPS.Thermostat.Cyber!A46)," ",CPS.Thermostat.Cyber!B46)</f>
        <v xml:space="preserve">      privacy</v>
      </c>
      <c r="D46" s="7" t="s">
        <v>187</v>
      </c>
      <c r="E46" s="7" t="s">
        <v>53</v>
      </c>
    </row>
    <row r="47" spans="1:5" x14ac:dyDescent="0.2">
      <c r="A47" s="7">
        <v>1</v>
      </c>
      <c r="B47" s="7" t="s">
        <v>54</v>
      </c>
      <c r="C47" s="7" t="str">
        <f>CONCATENATE(REPT("     ",CPS.Thermostat.Cyber!A47)," ",CPS.Thermostat.Cyber!B47)</f>
        <v xml:space="preserve">      reliability</v>
      </c>
      <c r="D47" s="7" t="s">
        <v>187</v>
      </c>
      <c r="E47" s="7" t="s">
        <v>55</v>
      </c>
    </row>
    <row r="48" spans="1:5" ht="30" x14ac:dyDescent="0.2">
      <c r="A48" s="7">
        <v>1</v>
      </c>
      <c r="B48" s="7" t="s">
        <v>56</v>
      </c>
      <c r="C48" s="7" t="str">
        <f>CONCATENATE(REPT("     ",CPS.Thermostat.Cyber!A48)," ",CPS.Thermostat.Cyber!B48)</f>
        <v xml:space="preserve">      resilience</v>
      </c>
      <c r="D48" s="7" t="s">
        <v>187</v>
      </c>
      <c r="E48" s="7" t="s">
        <v>57</v>
      </c>
    </row>
    <row r="49" spans="1:5" ht="30" x14ac:dyDescent="0.2">
      <c r="A49" s="7">
        <v>1</v>
      </c>
      <c r="B49" s="7" t="s">
        <v>58</v>
      </c>
      <c r="C49" s="7" t="str">
        <f>CONCATENATE(REPT("     ",CPS.Thermostat.Cyber!A49)," ",CPS.Thermostat.Cyber!B49)</f>
        <v xml:space="preserve">      safety</v>
      </c>
      <c r="D49" s="7" t="s">
        <v>187</v>
      </c>
      <c r="E49" s="7" t="s">
        <v>59</v>
      </c>
    </row>
    <row r="50" spans="1:5" ht="75" x14ac:dyDescent="0.2">
      <c r="A50" s="7">
        <v>1</v>
      </c>
      <c r="B50" s="7" t="s">
        <v>60</v>
      </c>
      <c r="C50" s="7" t="str">
        <f>CONCATENATE(REPT("     ",CPS.Thermostat.Cyber!A50)," ",CPS.Thermostat.Cyber!B50)</f>
        <v xml:space="preserve">      security</v>
      </c>
      <c r="D50" s="7" t="s">
        <v>187</v>
      </c>
      <c r="E50" s="7" t="s">
        <v>113</v>
      </c>
    </row>
    <row r="51" spans="1:5" x14ac:dyDescent="0.2">
      <c r="A51" s="7">
        <v>2</v>
      </c>
      <c r="B51" s="7" t="s">
        <v>108</v>
      </c>
      <c r="C51" s="7" t="str">
        <f>CONCATENATE(REPT("     ",CPS.Thermostat.Cyber!A51)," ",CPS.Thermostat.Cyber!B51)</f>
        <v xml:space="preserve">           cybersecurity</v>
      </c>
      <c r="D51" s="7" t="s">
        <v>187</v>
      </c>
      <c r="E51" s="7" t="s">
        <v>228</v>
      </c>
    </row>
    <row r="52" spans="1:5" x14ac:dyDescent="0.2">
      <c r="A52" s="7">
        <v>3</v>
      </c>
      <c r="B52" s="7" t="s">
        <v>107</v>
      </c>
      <c r="C52" s="7" t="str">
        <f>CONCATENATE(REPT("     ",CPS.Thermostat.Cyber!A52)," ",CPS.Thermostat.Cyber!B52)</f>
        <v xml:space="preserve">                confidentiality</v>
      </c>
      <c r="D52" s="7" t="s">
        <v>187</v>
      </c>
      <c r="E52" s="7" t="s">
        <v>112</v>
      </c>
    </row>
    <row r="53" spans="1:5" x14ac:dyDescent="0.2">
      <c r="A53" s="7">
        <v>3</v>
      </c>
      <c r="B53" s="7" t="s">
        <v>110</v>
      </c>
      <c r="C53" s="7" t="str">
        <f>CONCATENATE(REPT("     ",CPS.Thermostat.Cyber!A53)," ",CPS.Thermostat.Cyber!B53)</f>
        <v xml:space="preserve">                integrity</v>
      </c>
      <c r="D53" s="7" t="s">
        <v>187</v>
      </c>
      <c r="E53" s="7" t="s">
        <v>215</v>
      </c>
    </row>
    <row r="54" spans="1:5" x14ac:dyDescent="0.2">
      <c r="A54" s="7">
        <v>3</v>
      </c>
      <c r="B54" s="7" t="s">
        <v>111</v>
      </c>
      <c r="C54" s="7" t="str">
        <f>CONCATENATE(REPT("     ",CPS.Thermostat.Cyber!A54)," ",CPS.Thermostat.Cyber!B54)</f>
        <v xml:space="preserve">                availability</v>
      </c>
      <c r="D54" s="7" t="s">
        <v>187</v>
      </c>
      <c r="E54" s="7" t="s">
        <v>114</v>
      </c>
    </row>
    <row r="55" spans="1:5" x14ac:dyDescent="0.2">
      <c r="A55" s="7">
        <v>2</v>
      </c>
      <c r="B55" s="7" t="s">
        <v>109</v>
      </c>
      <c r="C55" s="7" t="str">
        <f>CONCATENATE(REPT("     ",CPS.Thermostat.Cyber!A55)," ",CPS.Thermostat.Cyber!B55)</f>
        <v xml:space="preserve">           physicalsecurity</v>
      </c>
      <c r="D55" s="7" t="s">
        <v>187</v>
      </c>
      <c r="E55" s="7" t="s">
        <v>214</v>
      </c>
    </row>
    <row r="56" spans="1:5" ht="30" x14ac:dyDescent="0.2">
      <c r="A56" s="5">
        <v>0</v>
      </c>
      <c r="B56" s="5" t="s">
        <v>7</v>
      </c>
      <c r="C56" s="5" t="str">
        <f>CONCATENATE(REPT("     ",CPS.Thermostat.Cyber!A56)," ",CPS.Thermostat.Cyber!B56)</f>
        <v xml:space="preserve"> Timing</v>
      </c>
      <c r="D56" s="5" t="s">
        <v>187</v>
      </c>
      <c r="E56" s="6" t="s">
        <v>119</v>
      </c>
    </row>
    <row r="57" spans="1:5" x14ac:dyDescent="0.2">
      <c r="A57" s="7">
        <v>1</v>
      </c>
      <c r="B57" s="7" t="s">
        <v>61</v>
      </c>
      <c r="C57" s="7" t="str">
        <f>CONCATENATE(REPT("     ",CPS.Thermostat.Cyber!A57)," ",CPS.Thermostat.Cyber!B57)</f>
        <v xml:space="preserve">      logical time</v>
      </c>
      <c r="D57" s="7" t="s">
        <v>187</v>
      </c>
      <c r="E57" s="7" t="s">
        <v>62</v>
      </c>
    </row>
    <row r="58" spans="1:5" ht="60" x14ac:dyDescent="0.2">
      <c r="A58" s="7">
        <v>1</v>
      </c>
      <c r="B58" s="7" t="s">
        <v>63</v>
      </c>
      <c r="C58" s="7" t="str">
        <f>CONCATENATE(REPT("     ",CPS.Thermostat.Cyber!A58)," ",CPS.Thermostat.Cyber!B58)</f>
        <v xml:space="preserve">      managing timing and latency</v>
      </c>
      <c r="D58" s="7" t="s">
        <v>187</v>
      </c>
      <c r="E58" s="7" t="s">
        <v>64</v>
      </c>
    </row>
    <row r="59" spans="1:5" ht="30" x14ac:dyDescent="0.2">
      <c r="A59" s="7">
        <v>1</v>
      </c>
      <c r="B59" s="7" t="s">
        <v>65</v>
      </c>
      <c r="C59" s="7" t="str">
        <f>CONCATENATE(REPT("     ",CPS.Thermostat.Cyber!A59)," ",CPS.Thermostat.Cyber!B59)</f>
        <v xml:space="preserve">      synchronization</v>
      </c>
      <c r="D59" s="7" t="s">
        <v>187</v>
      </c>
      <c r="E59" s="7" t="s">
        <v>66</v>
      </c>
    </row>
    <row r="60" spans="1:5" ht="30" x14ac:dyDescent="0.2">
      <c r="A60" s="7">
        <v>1</v>
      </c>
      <c r="B60" s="7" t="s">
        <v>67</v>
      </c>
      <c r="C60" s="7" t="str">
        <f>CONCATENATE(REPT("     ",CPS.Thermostat.Cyber!A60)," ",CPS.Thermostat.Cyber!B60)</f>
        <v xml:space="preserve">      time awareness</v>
      </c>
      <c r="D60" s="7" t="s">
        <v>187</v>
      </c>
      <c r="E60" s="7" t="s">
        <v>68</v>
      </c>
    </row>
    <row r="61" spans="1:5" ht="45" x14ac:dyDescent="0.2">
      <c r="A61" s="7">
        <v>1</v>
      </c>
      <c r="B61" s="7" t="s">
        <v>69</v>
      </c>
      <c r="C61" s="7" t="str">
        <f>CONCATENATE(REPT("     ",CPS.Thermostat.Cyber!A61)," ",CPS.Thermostat.Cyber!B61)</f>
        <v xml:space="preserve">      time-interval and latency control</v>
      </c>
      <c r="D61" s="7" t="s">
        <v>187</v>
      </c>
      <c r="E61" s="7" t="s">
        <v>70</v>
      </c>
    </row>
    <row r="62" spans="1:5" x14ac:dyDescent="0.2">
      <c r="A62" s="5">
        <v>0</v>
      </c>
      <c r="B62" s="5" t="s">
        <v>8</v>
      </c>
      <c r="C62" s="5" t="str">
        <f>CONCATENATE(REPT("     ",CPS.Thermostat.Cyber!A62)," ",CPS.Thermostat.Cyber!B62)</f>
        <v xml:space="preserve"> Data</v>
      </c>
      <c r="D62" s="5" t="s">
        <v>187</v>
      </c>
      <c r="E62" s="6" t="s">
        <v>120</v>
      </c>
    </row>
    <row r="63" spans="1:5" x14ac:dyDescent="0.2">
      <c r="A63" s="7">
        <v>1</v>
      </c>
      <c r="B63" s="7" t="s">
        <v>71</v>
      </c>
      <c r="C63" s="7" t="str">
        <f>CONCATENATE(REPT("     ",CPS.Thermostat.Cyber!A63)," ",CPS.Thermostat.Cyber!B63)</f>
        <v xml:space="preserve">      data semantics</v>
      </c>
      <c r="D63" s="7" t="s">
        <v>187</v>
      </c>
      <c r="E63" s="7" t="s">
        <v>72</v>
      </c>
    </row>
    <row r="64" spans="1:5" x14ac:dyDescent="0.2">
      <c r="A64" s="7">
        <v>2</v>
      </c>
      <c r="B64" s="7" t="s">
        <v>134</v>
      </c>
      <c r="C64" s="7" t="str">
        <f>CONCATENATE(REPT("     ",CPS.Thermostat.Cyber!A64)," ",CPS.Thermostat.Cyber!B64)</f>
        <v xml:space="preserve">           data models</v>
      </c>
      <c r="D64" s="7" t="s">
        <v>187</v>
      </c>
      <c r="E64" s="7" t="s">
        <v>141</v>
      </c>
    </row>
    <row r="65" spans="1:5" x14ac:dyDescent="0.2">
      <c r="A65" s="7">
        <v>2</v>
      </c>
      <c r="B65" s="7" t="s">
        <v>135</v>
      </c>
      <c r="C65" s="7" t="str">
        <f>CONCATENATE(REPT("     ",CPS.Thermostat.Cyber!A65)," ",CPS.Thermostat.Cyber!B65)</f>
        <v xml:space="preserve">           granularity</v>
      </c>
      <c r="D65" s="7" t="s">
        <v>187</v>
      </c>
      <c r="E65" s="7" t="s">
        <v>148</v>
      </c>
    </row>
    <row r="66" spans="1:5" x14ac:dyDescent="0.2">
      <c r="A66" s="7">
        <v>2</v>
      </c>
      <c r="B66" s="7" t="s">
        <v>136</v>
      </c>
      <c r="C66" s="7" t="str">
        <f>CONCATENATE(REPT("     ",CPS.Thermostat.Cyber!A66)," ",CPS.Thermostat.Cyber!B66)</f>
        <v xml:space="preserve">           meaning</v>
      </c>
      <c r="D66" s="7" t="s">
        <v>187</v>
      </c>
      <c r="E66" s="7" t="s">
        <v>149</v>
      </c>
    </row>
    <row r="67" spans="1:5" ht="30" x14ac:dyDescent="0.2">
      <c r="A67" s="7">
        <v>1</v>
      </c>
      <c r="B67" s="7" t="s">
        <v>73</v>
      </c>
      <c r="C67" s="7" t="str">
        <f>CONCATENATE(REPT("     ",CPS.Thermostat.Cyber!A67)," ",CPS.Thermostat.Cyber!B67)</f>
        <v xml:space="preserve">      identity</v>
      </c>
      <c r="D67" s="7" t="s">
        <v>187</v>
      </c>
      <c r="E67" s="7" t="s">
        <v>74</v>
      </c>
    </row>
    <row r="68" spans="1:5" ht="30" x14ac:dyDescent="0.2">
      <c r="A68" s="7">
        <v>2</v>
      </c>
      <c r="B68" s="7" t="s">
        <v>216</v>
      </c>
      <c r="C68" s="7" t="str">
        <f>CONCATENATE(REPT("     ",CPS.Thermostat.Cyber!A68)," ",CPS.Thermostat.Cyber!B68)</f>
        <v xml:space="preserve">           resourceIdentification</v>
      </c>
      <c r="D68" s="7" t="s">
        <v>198</v>
      </c>
      <c r="E68" s="7" t="s">
        <v>150</v>
      </c>
    </row>
    <row r="69" spans="1:5" x14ac:dyDescent="0.2">
      <c r="A69" s="7">
        <v>3</v>
      </c>
      <c r="B69" s="7" t="s">
        <v>217</v>
      </c>
      <c r="C69" s="7" t="str">
        <f>CONCATENATE(REPT("     ",CPS.Thermostat.Cyber!A69)," ",CPS.Thermostat.Cyber!B69)</f>
        <v xml:space="preserve">                userIdentification</v>
      </c>
      <c r="D69" s="7" t="s">
        <v>199</v>
      </c>
      <c r="E69" s="7" t="s">
        <v>229</v>
      </c>
    </row>
    <row r="70" spans="1:5" ht="30" x14ac:dyDescent="0.2">
      <c r="A70" s="7">
        <v>3</v>
      </c>
      <c r="B70" s="7" t="s">
        <v>218</v>
      </c>
      <c r="C70" s="7" t="str">
        <f>CONCATENATE(REPT("     ",CPS.Thermostat.Cyber!A70)," ",CPS.Thermostat.Cyber!B70)</f>
        <v xml:space="preserve">                deviceIdentification</v>
      </c>
      <c r="D70" s="7" t="s">
        <v>200</v>
      </c>
      <c r="E70" s="7" t="s">
        <v>230</v>
      </c>
    </row>
    <row r="71" spans="1:5" ht="30" x14ac:dyDescent="0.2">
      <c r="A71" s="7">
        <v>3</v>
      </c>
      <c r="B71" s="7" t="s">
        <v>219</v>
      </c>
      <c r="C71" s="7" t="str">
        <f>CONCATENATE(REPT("     ",CPS.Thermostat.Cyber!A71)," ",CPS.Thermostat.Cyber!B71)</f>
        <v xml:space="preserve">                objectIdentification</v>
      </c>
      <c r="D71" s="7" t="s">
        <v>201</v>
      </c>
      <c r="E71" s="7" t="s">
        <v>231</v>
      </c>
    </row>
    <row r="72" spans="1:5" x14ac:dyDescent="0.2">
      <c r="A72" s="7">
        <v>3</v>
      </c>
      <c r="B72" s="7" t="s">
        <v>220</v>
      </c>
      <c r="C72" s="7" t="str">
        <f>CONCATENATE(REPT("     ",CPS.Thermostat.Cyber!A72)," ",CPS.Thermostat.Cyber!B72)</f>
        <v xml:space="preserve">                classIdentification</v>
      </c>
      <c r="D72" s="7"/>
      <c r="E72" s="7" t="s">
        <v>232</v>
      </c>
    </row>
    <row r="73" spans="1:5" x14ac:dyDescent="0.2">
      <c r="A73" s="7">
        <v>2</v>
      </c>
      <c r="B73" s="7" t="s">
        <v>137</v>
      </c>
      <c r="C73" s="7" t="str">
        <f>CONCATENATE(REPT("     ",CPS.Thermostat.Cyber!A73)," ",CPS.Thermostat.Cyber!B73)</f>
        <v xml:space="preserve">           authentication</v>
      </c>
      <c r="D73" s="7" t="s">
        <v>187</v>
      </c>
      <c r="E73" s="7" t="s">
        <v>151</v>
      </c>
    </row>
    <row r="74" spans="1:5" x14ac:dyDescent="0.2">
      <c r="A74" s="7">
        <v>2</v>
      </c>
      <c r="B74" s="7" t="s">
        <v>138</v>
      </c>
      <c r="C74" s="7" t="str">
        <f>CONCATENATE(REPT("     ",CPS.Thermostat.Cyber!A74)," ",CPS.Thermostat.Cyber!B74)</f>
        <v xml:space="preserve">           authorization</v>
      </c>
      <c r="D74" s="7" t="s">
        <v>187</v>
      </c>
      <c r="E74" s="7" t="s">
        <v>152</v>
      </c>
    </row>
    <row r="75" spans="1:5" x14ac:dyDescent="0.2">
      <c r="A75" s="7">
        <v>2</v>
      </c>
      <c r="B75" s="7" t="s">
        <v>139</v>
      </c>
      <c r="C75" s="7" t="str">
        <f>CONCATENATE(REPT("     ",CPS.Thermostat.Cyber!A75)," ",CPS.Thermostat.Cyber!B75)</f>
        <v xml:space="preserve">           verification</v>
      </c>
      <c r="D75" s="7" t="s">
        <v>187</v>
      </c>
      <c r="E75" s="7" t="s">
        <v>153</v>
      </c>
    </row>
    <row r="76" spans="1:5" x14ac:dyDescent="0.2">
      <c r="A76" s="7">
        <v>2</v>
      </c>
      <c r="B76" s="7" t="s">
        <v>110</v>
      </c>
      <c r="C76" s="7" t="str">
        <f>CONCATENATE(REPT("     ",CPS.Thermostat.Cyber!A76)," ",CPS.Thermostat.Cyber!B76)</f>
        <v xml:space="preserve">           integrity</v>
      </c>
      <c r="D76" s="7" t="s">
        <v>187</v>
      </c>
      <c r="E76" s="7" t="s">
        <v>154</v>
      </c>
    </row>
    <row r="77" spans="1:5" x14ac:dyDescent="0.2">
      <c r="A77" s="7">
        <v>2</v>
      </c>
      <c r="B77" s="7" t="s">
        <v>221</v>
      </c>
      <c r="C77" s="7" t="str">
        <f>CONCATENATE(REPT("     ",CPS.Thermostat.Cyber!A77)," ",CPS.Thermostat.Cyber!B77)</f>
        <v xml:space="preserve">           configuration</v>
      </c>
      <c r="D77" s="7" t="s">
        <v>187</v>
      </c>
      <c r="E77" s="7" t="s">
        <v>155</v>
      </c>
    </row>
    <row r="78" spans="1:5" x14ac:dyDescent="0.2">
      <c r="A78" s="7">
        <v>2</v>
      </c>
      <c r="B78" s="7" t="s">
        <v>140</v>
      </c>
      <c r="C78" s="7" t="str">
        <f>CONCATENATE(REPT("     ",CPS.Thermostat.Cyber!A78)," ",CPS.Thermostat.Cyber!B78)</f>
        <v xml:space="preserve">           provenance</v>
      </c>
      <c r="D78" s="7" t="s">
        <v>187</v>
      </c>
      <c r="E78" s="7" t="s">
        <v>156</v>
      </c>
    </row>
    <row r="79" spans="1:5" ht="30" x14ac:dyDescent="0.2">
      <c r="A79" s="7">
        <v>1</v>
      </c>
      <c r="B79" s="7" t="s">
        <v>75</v>
      </c>
      <c r="C79" s="7" t="str">
        <f>CONCATENATE(REPT("     ",CPS.Thermostat.Cyber!A79)," ",CPS.Thermostat.Cyber!B79)</f>
        <v xml:space="preserve">      operations on data</v>
      </c>
      <c r="D79" s="7" t="s">
        <v>187</v>
      </c>
      <c r="E79" s="7" t="s">
        <v>76</v>
      </c>
    </row>
    <row r="80" spans="1:5" x14ac:dyDescent="0.2">
      <c r="A80" s="7">
        <v>2</v>
      </c>
      <c r="B80" s="7" t="s">
        <v>130</v>
      </c>
      <c r="C80" s="7" t="str">
        <f>CONCATENATE(REPT("     ",CPS.Thermostat.Cyber!A80)," ",CPS.Thermostat.Cyber!B80)</f>
        <v xml:space="preserve">           analytics</v>
      </c>
      <c r="D80" s="7" t="s">
        <v>187</v>
      </c>
      <c r="E80" s="7" t="s">
        <v>130</v>
      </c>
    </row>
    <row r="81" spans="1:5" x14ac:dyDescent="0.2">
      <c r="A81" s="7">
        <v>2</v>
      </c>
      <c r="B81" s="7" t="s">
        <v>125</v>
      </c>
      <c r="C81" s="7" t="str">
        <f>CONCATENATE(REPT("     ",CPS.Thermostat.Cyber!A81)," ",CPS.Thermostat.Cyber!B81)</f>
        <v xml:space="preserve">           fusion</v>
      </c>
      <c r="D81" s="7" t="s">
        <v>187</v>
      </c>
      <c r="E81" s="7" t="s">
        <v>127</v>
      </c>
    </row>
    <row r="82" spans="1:5" x14ac:dyDescent="0.2">
      <c r="A82" s="7">
        <v>2</v>
      </c>
      <c r="B82" s="7" t="s">
        <v>131</v>
      </c>
      <c r="C82" s="7" t="str">
        <f>CONCATENATE(REPT("     ",CPS.Thermostat.Cyber!A82)," ",CPS.Thermostat.Cyber!B82)</f>
        <v xml:space="preserve">           storage</v>
      </c>
      <c r="D82" s="7" t="s">
        <v>187</v>
      </c>
      <c r="E82" s="7" t="s">
        <v>128</v>
      </c>
    </row>
    <row r="83" spans="1:5" ht="30" x14ac:dyDescent="0.2">
      <c r="A83" s="7">
        <v>2</v>
      </c>
      <c r="B83" s="7" t="s">
        <v>132</v>
      </c>
      <c r="C83" s="7" t="str">
        <f>CONCATENATE(REPT("     ",CPS.Thermostat.Cyber!A83)," ",CPS.Thermostat.Cyber!B83)</f>
        <v xml:space="preserve">           aggregation/disaggregation</v>
      </c>
      <c r="D83" s="7" t="s">
        <v>187</v>
      </c>
      <c r="E83" s="7" t="s">
        <v>158</v>
      </c>
    </row>
    <row r="84" spans="1:5" x14ac:dyDescent="0.2">
      <c r="A84" s="7">
        <v>2</v>
      </c>
      <c r="B84" s="7" t="s">
        <v>133</v>
      </c>
      <c r="C84" s="7" t="str">
        <f>CONCATENATE(REPT("     ",CPS.Thermostat.Cyber!A84)," ",CPS.Thermostat.Cyber!B84)</f>
        <v xml:space="preserve">           transformation</v>
      </c>
      <c r="D84" s="7" t="s">
        <v>187</v>
      </c>
      <c r="E84" s="7" t="s">
        <v>157</v>
      </c>
    </row>
    <row r="85" spans="1:5" ht="30" x14ac:dyDescent="0.2">
      <c r="A85" s="7">
        <v>1</v>
      </c>
      <c r="B85" s="7" t="s">
        <v>77</v>
      </c>
      <c r="C85" s="7" t="str">
        <f>CONCATENATE(REPT("     ",CPS.Thermostat.Cyber!A85)," ",CPS.Thermostat.Cyber!B85)</f>
        <v xml:space="preserve">      relationship between data</v>
      </c>
      <c r="D85" s="7" t="s">
        <v>187</v>
      </c>
      <c r="E85" s="7" t="s">
        <v>78</v>
      </c>
    </row>
    <row r="86" spans="1:5" x14ac:dyDescent="0.2">
      <c r="A86" s="7">
        <v>2</v>
      </c>
      <c r="B86" s="7" t="s">
        <v>142</v>
      </c>
      <c r="C86" s="7" t="str">
        <f>CONCATENATE(REPT("     ",CPS.Thermostat.Cyber!A86)," ",CPS.Thermostat.Cyber!B86)</f>
        <v xml:space="preserve">           time of data</v>
      </c>
      <c r="D86" s="7" t="s">
        <v>187</v>
      </c>
      <c r="E86" s="7" t="s">
        <v>159</v>
      </c>
    </row>
    <row r="87" spans="1:5" ht="45" x14ac:dyDescent="0.2">
      <c r="A87" s="7">
        <v>2</v>
      </c>
      <c r="B87" s="7" t="s">
        <v>143</v>
      </c>
      <c r="C87" s="7" t="str">
        <f>CONCATENATE(REPT("     ",CPS.Thermostat.Cyber!A87)," ",CPS.Thermostat.Cyber!B87)</f>
        <v xml:space="preserve">           related data (including metadata)</v>
      </c>
      <c r="D87" s="7" t="s">
        <v>187</v>
      </c>
      <c r="E87" s="7" t="s">
        <v>160</v>
      </c>
    </row>
    <row r="88" spans="1:5" x14ac:dyDescent="0.2">
      <c r="A88" s="7">
        <v>2</v>
      </c>
      <c r="B88" s="7" t="s">
        <v>144</v>
      </c>
      <c r="C88" s="7" t="str">
        <f>CONCATENATE(REPT("     ",CPS.Thermostat.Cyber!A88)," ",CPS.Thermostat.Cyber!B88)</f>
        <v xml:space="preserve">           location of data</v>
      </c>
      <c r="D88" s="7" t="s">
        <v>187</v>
      </c>
      <c r="E88" s="7" t="s">
        <v>144</v>
      </c>
    </row>
    <row r="89" spans="1:5" x14ac:dyDescent="0.2">
      <c r="A89" s="7">
        <v>2</v>
      </c>
      <c r="B89" s="7" t="s">
        <v>145</v>
      </c>
      <c r="C89" s="7" t="str">
        <f>CONCATENATE(REPT("     ",CPS.Thermostat.Cyber!A89)," ",CPS.Thermostat.Cyber!B89)</f>
        <v xml:space="preserve">           inheritance</v>
      </c>
      <c r="D89" s="7" t="s">
        <v>187</v>
      </c>
      <c r="E89" s="7" t="s">
        <v>161</v>
      </c>
    </row>
    <row r="90" spans="1:5" x14ac:dyDescent="0.2">
      <c r="A90" s="7">
        <v>2</v>
      </c>
      <c r="B90" s="7" t="s">
        <v>146</v>
      </c>
      <c r="C90" s="7" t="str">
        <f>CONCATENATE(REPT("     ",CPS.Thermostat.Cyber!A90)," ",CPS.Thermostat.Cyber!B90)</f>
        <v xml:space="preserve">           polymorphism</v>
      </c>
      <c r="D90" s="7" t="s">
        <v>187</v>
      </c>
      <c r="E90" s="7" t="s">
        <v>162</v>
      </c>
    </row>
    <row r="91" spans="1:5" ht="30" x14ac:dyDescent="0.2">
      <c r="A91" s="7">
        <v>2</v>
      </c>
      <c r="B91" s="7" t="s">
        <v>163</v>
      </c>
      <c r="C91" s="7" t="str">
        <f>CONCATENATE(REPT("     ",CPS.Thermostat.Cyber!A91)," ",CPS.Thermostat.Cyber!B91)</f>
        <v xml:space="preserve">           directionality of relationships</v>
      </c>
      <c r="D91" s="7" t="s">
        <v>187</v>
      </c>
      <c r="E91" s="7" t="s">
        <v>147</v>
      </c>
    </row>
    <row r="92" spans="1:5" x14ac:dyDescent="0.2">
      <c r="A92" s="7">
        <v>2</v>
      </c>
      <c r="B92" s="7" t="s">
        <v>40</v>
      </c>
      <c r="C92" s="7" t="str">
        <f>CONCATENATE(REPT("     ",CPS.Thermostat.Cyber!A92)," ",CPS.Thermostat.Cyber!B92)</f>
        <v xml:space="preserve">           quality</v>
      </c>
      <c r="D92" s="7" t="s">
        <v>187</v>
      </c>
      <c r="E92" s="7" t="s">
        <v>164</v>
      </c>
    </row>
    <row r="93" spans="1:5" x14ac:dyDescent="0.2">
      <c r="A93" s="7">
        <v>1</v>
      </c>
      <c r="B93" s="7" t="s">
        <v>126</v>
      </c>
      <c r="C93" s="7" t="str">
        <f>CONCATENATE(REPT("     ",CPS.Thermostat.Cyber!A93)," ",CPS.Thermostat.Cyber!B93)</f>
        <v xml:space="preserve">      velocity</v>
      </c>
      <c r="D93" s="7" t="s">
        <v>187</v>
      </c>
      <c r="E93" s="7" t="s">
        <v>129</v>
      </c>
    </row>
    <row r="94" spans="1:5" ht="13" customHeight="1" x14ac:dyDescent="0.2">
      <c r="A94" s="5">
        <v>0</v>
      </c>
      <c r="B94" s="5" t="s">
        <v>9</v>
      </c>
      <c r="C94" s="5" t="str">
        <f>CONCATENATE(REPT("     ",CPS.Thermostat.Cyber!A94)," ",CPS.Thermostat.Cyber!B94)</f>
        <v xml:space="preserve"> Boundaries</v>
      </c>
      <c r="D94" s="5" t="s">
        <v>187</v>
      </c>
      <c r="E94" s="6" t="s">
        <v>121</v>
      </c>
    </row>
    <row r="95" spans="1:5" ht="30" x14ac:dyDescent="0.2">
      <c r="A95" s="7">
        <v>1</v>
      </c>
      <c r="B95" s="7" t="s">
        <v>79</v>
      </c>
      <c r="C95" s="7" t="str">
        <f>CONCATENATE(REPT("     ",CPS.Thermostat.Cyber!A95)," ",CPS.Thermostat.Cyber!B95)</f>
        <v xml:space="preserve">      behavioral</v>
      </c>
      <c r="D95" s="7" t="s">
        <v>187</v>
      </c>
      <c r="E95" s="7" t="s">
        <v>80</v>
      </c>
    </row>
    <row r="96" spans="1:5" x14ac:dyDescent="0.2">
      <c r="A96" s="7">
        <v>1</v>
      </c>
      <c r="B96" s="7" t="s">
        <v>81</v>
      </c>
      <c r="C96" s="7" t="str">
        <f>CONCATENATE(REPT("     ",CPS.Thermostat.Cyber!A96)," ",CPS.Thermostat.Cyber!B96)</f>
        <v xml:space="preserve">      networkability</v>
      </c>
      <c r="D96" s="7" t="s">
        <v>187</v>
      </c>
      <c r="E96" s="7" t="s">
        <v>82</v>
      </c>
    </row>
    <row r="97" spans="1:5" x14ac:dyDescent="0.2">
      <c r="A97" s="7">
        <v>1</v>
      </c>
      <c r="B97" s="7" t="s">
        <v>83</v>
      </c>
      <c r="C97" s="7" t="str">
        <f>CONCATENATE(REPT("     ",CPS.Thermostat.Cyber!A97)," ",CPS.Thermostat.Cyber!B97)</f>
        <v xml:space="preserve">      responsibility</v>
      </c>
      <c r="D97" s="7" t="s">
        <v>187</v>
      </c>
      <c r="E97" s="7" t="s">
        <v>84</v>
      </c>
    </row>
    <row r="98" spans="1:5" ht="45" x14ac:dyDescent="0.2">
      <c r="A98" s="5">
        <v>0</v>
      </c>
      <c r="B98" s="5" t="s">
        <v>10</v>
      </c>
      <c r="C98" s="5" t="str">
        <f>CONCATENATE(REPT("     ",CPS.Thermostat.Cyber!A98)," ",CPS.Thermostat.Cyber!B98)</f>
        <v xml:space="preserve"> Composition</v>
      </c>
      <c r="D98" s="5" t="s">
        <v>187</v>
      </c>
      <c r="E98" s="6" t="s">
        <v>122</v>
      </c>
    </row>
    <row r="99" spans="1:5" ht="30" x14ac:dyDescent="0.2">
      <c r="A99" s="7">
        <v>1</v>
      </c>
      <c r="B99" s="7" t="s">
        <v>85</v>
      </c>
      <c r="C99" s="7" t="str">
        <f>CONCATENATE(REPT("     ",CPS.Thermostat.Cyber!A99)," ",CPS.Thermostat.Cyber!B99)</f>
        <v xml:space="preserve">      adaptability</v>
      </c>
      <c r="D99" s="7" t="s">
        <v>187</v>
      </c>
      <c r="E99" s="7" t="s">
        <v>86</v>
      </c>
    </row>
    <row r="100" spans="1:5" ht="30" x14ac:dyDescent="0.2">
      <c r="A100" s="7">
        <v>1</v>
      </c>
      <c r="B100" s="7" t="s">
        <v>87</v>
      </c>
      <c r="C100" s="7" t="str">
        <f>CONCATENATE(REPT("     ",CPS.Thermostat.Cyber!A100)," ",CPS.Thermostat.Cyber!B100)</f>
        <v xml:space="preserve">      complexity</v>
      </c>
      <c r="D100" s="7" t="s">
        <v>187</v>
      </c>
      <c r="E100" s="7" t="s">
        <v>88</v>
      </c>
    </row>
    <row r="101" spans="1:5" x14ac:dyDescent="0.2">
      <c r="A101" s="7">
        <v>1</v>
      </c>
      <c r="B101" s="7" t="s">
        <v>89</v>
      </c>
      <c r="C101" s="7" t="str">
        <f>CONCATENATE(REPT("     ",CPS.Thermostat.Cyber!A101)," ",CPS.Thermostat.Cyber!B101)</f>
        <v xml:space="preserve">      constructivity</v>
      </c>
      <c r="D101" s="7" t="s">
        <v>187</v>
      </c>
      <c r="E101" s="7" t="s">
        <v>90</v>
      </c>
    </row>
    <row r="102" spans="1:5" ht="45" x14ac:dyDescent="0.2">
      <c r="A102" s="7">
        <v>1</v>
      </c>
      <c r="B102" s="7" t="s">
        <v>91</v>
      </c>
      <c r="C102" s="7" t="str">
        <f>CONCATENATE(REPT("     ",CPS.Thermostat.Cyber!A102)," ",CPS.Thermostat.Cyber!B102)</f>
        <v xml:space="preserve">      discoverability</v>
      </c>
      <c r="D102" s="7" t="s">
        <v>187</v>
      </c>
      <c r="E102" s="7" t="s">
        <v>92</v>
      </c>
    </row>
    <row r="103" spans="1:5" x14ac:dyDescent="0.2">
      <c r="A103" s="5">
        <v>0</v>
      </c>
      <c r="B103" s="5" t="s">
        <v>11</v>
      </c>
      <c r="C103" s="5" t="str">
        <f>CONCATENATE(REPT("     ",CPS.Thermostat.Cyber!A103)," ",CPS.Thermostat.Cyber!B103)</f>
        <v xml:space="preserve"> Lifecycle</v>
      </c>
      <c r="D103" s="5" t="s">
        <v>187</v>
      </c>
      <c r="E103" s="6" t="s">
        <v>123</v>
      </c>
    </row>
    <row r="104" spans="1:5" x14ac:dyDescent="0.2">
      <c r="A104" s="7">
        <v>1</v>
      </c>
      <c r="B104" s="7" t="s">
        <v>93</v>
      </c>
      <c r="C104" s="7" t="str">
        <f>CONCATENATE(REPT("     ",CPS.Thermostat.Cyber!A104)," ",CPS.Thermostat.Cyber!B104)</f>
        <v xml:space="preserve">      deployability</v>
      </c>
      <c r="D104" s="7" t="s">
        <v>187</v>
      </c>
      <c r="E104" s="7" t="s">
        <v>94</v>
      </c>
    </row>
    <row r="105" spans="1:5" x14ac:dyDescent="0.2">
      <c r="A105" s="7">
        <v>1</v>
      </c>
      <c r="B105" s="7" t="s">
        <v>95</v>
      </c>
      <c r="C105" s="7" t="str">
        <f>CONCATENATE(REPT("     ",CPS.Thermostat.Cyber!A105)," ",CPS.Thermostat.Cyber!B105)</f>
        <v xml:space="preserve">      disposability</v>
      </c>
      <c r="D105" s="7" t="s">
        <v>187</v>
      </c>
      <c r="E105" s="7" t="s">
        <v>96</v>
      </c>
    </row>
    <row r="106" spans="1:5" ht="30" x14ac:dyDescent="0.2">
      <c r="A106" s="7">
        <v>1</v>
      </c>
      <c r="B106" s="7" t="s">
        <v>97</v>
      </c>
      <c r="C106" s="7" t="str">
        <f>CONCATENATE(REPT("     ",CPS.Thermostat.Cyber!A106)," ",CPS.Thermostat.Cyber!B106)</f>
        <v xml:space="preserve">      engineerability</v>
      </c>
      <c r="D106" s="7" t="s">
        <v>187</v>
      </c>
      <c r="E106" s="7" t="s">
        <v>98</v>
      </c>
    </row>
    <row r="107" spans="1:5" x14ac:dyDescent="0.2">
      <c r="A107" s="7">
        <v>1</v>
      </c>
      <c r="B107" s="7" t="s">
        <v>99</v>
      </c>
      <c r="C107" s="7" t="str">
        <f>CONCATENATE(REPT("     ",CPS.Thermostat.Cyber!A107)," ",CPS.Thermostat.Cyber!B107)</f>
        <v xml:space="preserve">      maintainability</v>
      </c>
      <c r="D107" s="7" t="s">
        <v>187</v>
      </c>
      <c r="E107" s="7" t="s">
        <v>100</v>
      </c>
    </row>
    <row r="108" spans="1:5" x14ac:dyDescent="0.2">
      <c r="A108" s="7">
        <v>1</v>
      </c>
      <c r="B108" s="7" t="s">
        <v>101</v>
      </c>
      <c r="C108" s="7" t="str">
        <f>CONCATENATE(REPT("     ",CPS.Thermostat.Cyber!A108)," ",CPS.Thermostat.Cyber!B108)</f>
        <v xml:space="preserve">      operatability</v>
      </c>
      <c r="D108" s="7" t="s">
        <v>187</v>
      </c>
      <c r="E108" s="7" t="s">
        <v>102</v>
      </c>
    </row>
    <row r="109" spans="1:5" x14ac:dyDescent="0.2">
      <c r="A109" s="7">
        <v>1</v>
      </c>
      <c r="B109" s="7" t="s">
        <v>103</v>
      </c>
      <c r="C109" s="7" t="str">
        <f>CONCATENATE(REPT("     ",CPS.Thermostat.Cyber!A109)," ",CPS.Thermostat.Cyber!B109)</f>
        <v xml:space="preserve">      procureability</v>
      </c>
      <c r="D109" s="7" t="s">
        <v>187</v>
      </c>
      <c r="E109" s="7" t="s">
        <v>104</v>
      </c>
    </row>
    <row r="110" spans="1:5" x14ac:dyDescent="0.2">
      <c r="A110" s="7">
        <v>1</v>
      </c>
      <c r="B110" s="7" t="s">
        <v>105</v>
      </c>
      <c r="C110" s="7" t="str">
        <f>CONCATENATE(REPT("     ",CPS.Thermostat.Cyber!A110)," ",CPS.Thermostat.Cyber!B110)</f>
        <v xml:space="preserve">      producibility</v>
      </c>
      <c r="D110" s="7" t="s">
        <v>187</v>
      </c>
      <c r="E110" s="7" t="s">
        <v>106</v>
      </c>
    </row>
  </sheetData>
  <autoFilter ref="A4:E110"/>
  <mergeCells count="1">
    <mergeCell ref="F3:J3"/>
  </mergeCells>
  <pageMargins left="0.7" right="0.7" top="0.75" bottom="0.75" header="0.3" footer="0.3"/>
  <pageSetup orientation="portrait" horizontalDpi="4294967293" verticalDpi="429496729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BusinessCase</vt:lpstr>
      <vt:lpstr>UseCase.Scenario.Heating</vt:lpstr>
      <vt:lpstr>UseCase.Scenario.Cooling</vt:lpstr>
      <vt:lpstr>UseCase.Scenario.Automatic</vt:lpstr>
      <vt:lpstr>Interactions.WiFiMsgng</vt:lpstr>
      <vt:lpstr>BusinessObjects.Thermostat</vt:lpstr>
      <vt:lpstr>CPS.Thermostat</vt:lpstr>
      <vt:lpstr>CPS.Thermostat.Physical</vt:lpstr>
      <vt:lpstr>CPS.Thermostat.Cyber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rpasquarelli</dc:creator>
  <cp:lastModifiedBy>Edward Griffor</cp:lastModifiedBy>
  <cp:lastPrinted>2012-09-28T16:14:22Z</cp:lastPrinted>
  <dcterms:created xsi:type="dcterms:W3CDTF">2010-05-28T15:44:05Z</dcterms:created>
  <dcterms:modified xsi:type="dcterms:W3CDTF">2016-09-23T19:49:44Z</dcterms:modified>
</cp:coreProperties>
</file>